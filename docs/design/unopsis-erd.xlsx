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evaa\Downloads\"/>
    </mc:Choice>
  </mc:AlternateContent>
  <xr:revisionPtr revIDLastSave="0" documentId="11_36CF9343329ABD4FEC6C0DB616CE162CD3D1B93E" xr6:coauthVersionLast="47" xr6:coauthVersionMax="47" xr10:uidLastSave="{00000000-0000-0000-0000-000000000000}"/>
  <bookViews>
    <workbookView xWindow="-108" yWindow="-108" windowWidth="23256" windowHeight="14616" tabRatio="500" firstSheet="4" activeTab="9" xr2:uid="{00000000-000D-0000-FFFF-FFFF00000000}"/>
  </bookViews>
  <sheets>
    <sheet name="Overview" sheetId="1" r:id="rId1"/>
    <sheet name="USER" sheetId="2" r:id="rId2"/>
    <sheet name="SPACE" sheetId="3" r:id="rId3"/>
    <sheet name="CONNECTION" sheetId="4" r:id="rId4"/>
    <sheet name="PERSON" sheetId="5" r:id="rId5"/>
    <sheet name="MESSAGE" sheetId="6" r:id="rId6"/>
    <sheet name="BRIEF" sheetId="7" r:id="rId7"/>
    <sheet name="BRIEF_ITEM" sheetId="8" r:id="rId8"/>
    <sheet name="Relationships" sheetId="9" r:id="rId9"/>
    <sheet name="All Field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1" l="1"/>
  <c r="B14" i="1"/>
  <c r="B13" i="1"/>
  <c r="B12" i="1"/>
  <c r="B11" i="1"/>
  <c r="B10" i="1"/>
  <c r="B9" i="1"/>
  <c r="B16" i="1" s="1"/>
</calcChain>
</file>

<file path=xl/sharedStrings.xml><?xml version="1.0" encoding="utf-8"?>
<sst xmlns="http://schemas.openxmlformats.org/spreadsheetml/2006/main" count="911" uniqueCount="237">
  <si>
    <t>Unopsis - Entity Relationship Diagram</t>
  </si>
  <si>
    <t>INFO 490 - Part 4 - app unopsis in project inboxtriage</t>
  </si>
  <si>
    <t>The spine</t>
  </si>
  <si>
    <t>Space (work | personal) -&gt; Connection -&gt; Message -&gt; Brief -&gt; BriefItem, where each item cites the Messages behind it.</t>
  </si>
  <si>
    <t>Tables in this workbook</t>
  </si>
  <si>
    <t>Table</t>
  </si>
  <si>
    <t>Fields</t>
  </si>
  <si>
    <t>Sheet</t>
  </si>
  <si>
    <t>What it holds</t>
  </si>
  <si>
    <t>USER</t>
  </si>
  <si>
    <t>Account holder. Owns one or more Spaces.</t>
  </si>
  <si>
    <t>SPACE</t>
  </si>
  <si>
    <t>A work or personal workspace. The root of everything a user sees.</t>
  </si>
  <si>
    <t>CONNECTION</t>
  </si>
  <si>
    <t>A linked provider account that feeds Messages into a Space.</t>
  </si>
  <si>
    <t>PERSON</t>
  </si>
  <si>
    <t>A human known to a Space, deduplicated across providers.</t>
  </si>
  <si>
    <t>MESSAGE</t>
  </si>
  <si>
    <t>One ingested message from a Connection, authored by a Person.</t>
  </si>
  <si>
    <t>BRIEF</t>
  </si>
  <si>
    <t>A generated digest covering one time window for one Space.</t>
  </si>
  <si>
    <t>BRIEF_ITEM</t>
  </si>
  <si>
    <t>One ranked card inside a Brief, citing the Messages behind it.</t>
  </si>
  <si>
    <t>TOTAL</t>
  </si>
  <si>
    <t>Legend</t>
  </si>
  <si>
    <t>Marker</t>
  </si>
  <si>
    <t>Category</t>
  </si>
  <si>
    <t>Meaning</t>
  </si>
  <si>
    <t>CASCADE</t>
  </si>
  <si>
    <t>Deletion rule</t>
  </si>
  <si>
    <t>Child cannot exist without parent - deleting the parent deletes the children.</t>
  </si>
  <si>
    <t>PROTECT</t>
  </si>
  <si>
    <t>Deletion blocked while children exist.</t>
  </si>
  <si>
    <t>SET_NULL</t>
  </si>
  <si>
    <t>Child survives, reference cleared.</t>
  </si>
  <si>
    <t>M2M</t>
  </si>
  <si>
    <t>Relationship</t>
  </si>
  <si>
    <t>Many-to-many join table (the receipts).</t>
  </si>
  <si>
    <t>PK</t>
  </si>
  <si>
    <t>Key</t>
  </si>
  <si>
    <t>Primary key.</t>
  </si>
  <si>
    <t>FK</t>
  </si>
  <si>
    <t>Foreign key.</t>
  </si>
  <si>
    <t>UK</t>
  </si>
  <si>
    <t>Unique key on a single column.</t>
  </si>
  <si>
    <t>UQ</t>
  </si>
  <si>
    <t>Constraint</t>
  </si>
  <si>
    <t>Part of a UniqueConstraint (often spanning several columns).</t>
  </si>
  <si>
    <t>Screen map</t>
  </si>
  <si>
    <t>Screen</t>
  </si>
  <si>
    <t>Backed by</t>
  </si>
  <si>
    <t>1</t>
  </si>
  <si>
    <t>Space</t>
  </si>
  <si>
    <t>2</t>
  </si>
  <si>
    <t>Connection</t>
  </si>
  <si>
    <t>3</t>
  </si>
  <si>
    <t>Connection.included_scopes</t>
  </si>
  <si>
    <t>4</t>
  </si>
  <si>
    <t>Space.rules + delivery fields</t>
  </si>
  <si>
    <t>5</t>
  </si>
  <si>
    <t>Brief.steps</t>
  </si>
  <si>
    <t>6 / 9 / 10</t>
  </si>
  <si>
    <t>BriefItem.lane and .state</t>
  </si>
  <si>
    <t>7</t>
  </si>
  <si>
    <t>one BriefItem</t>
  </si>
  <si>
    <t>8</t>
  </si>
  <si>
    <t>BriefItem.messages + .draft_body</t>
  </si>
  <si>
    <t>11 / 12</t>
  </si>
  <si>
    <t>the same models with Space.kind = "personal"</t>
  </si>
  <si>
    <t>Note on unique constraints</t>
  </si>
  <si>
    <t>The source diagram marks individual columns with UQ but does not draw the constraint groupings. The groupings written in the Constraints column of each table sheet are the reading implied by the diagram (for example SPACE: user_id + kind). Confirm them against your models before treating them as final.</t>
  </si>
  <si>
    <t>Source: er-diagram.pdf supplied by the user. All field names, types, keys and deletion rules transcribed from that diagram.</t>
  </si>
  <si>
    <t>#</t>
  </si>
  <si>
    <t>Field</t>
  </si>
  <si>
    <t>Type</t>
  </si>
  <si>
    <t>References</t>
  </si>
  <si>
    <t>Constraints / notes</t>
  </si>
  <si>
    <t>id</t>
  </si>
  <si>
    <t>int</t>
  </si>
  <si>
    <t>username</t>
  </si>
  <si>
    <t>string</t>
  </si>
  <si>
    <t>Unique key</t>
  </si>
  <si>
    <t>Relationships</t>
  </si>
  <si>
    <t>Direction</t>
  </si>
  <si>
    <t>Verb</t>
  </si>
  <si>
    <t>Other table</t>
  </si>
  <si>
    <t>Cardinality</t>
  </si>
  <si>
    <t>On delete</t>
  </si>
  <si>
    <t>Via</t>
  </si>
  <si>
    <t>parent of</t>
  </si>
  <si>
    <t>owns</t>
  </si>
  <si>
    <t>1 : N</t>
  </si>
  <si>
    <t>SPACE.user_id -&gt; USER.id</t>
  </si>
  <si>
    <t>user_id</t>
  </si>
  <si>
    <t>USER.id</t>
  </si>
  <si>
    <t>UQ - unique with kind</t>
  </si>
  <si>
    <t>kind</t>
  </si>
  <si>
    <t>UQ - work | personal</t>
  </si>
  <si>
    <t>detail_level</t>
  </si>
  <si>
    <t>1 line .. 5 full recap</t>
  </si>
  <si>
    <t>quiet_start</t>
  </si>
  <si>
    <t>time</t>
  </si>
  <si>
    <t>quiet_end</t>
  </si>
  <si>
    <t>deliver_in_app</t>
  </si>
  <si>
    <t>bool</t>
  </si>
  <si>
    <t>deliver_email</t>
  </si>
  <si>
    <t>deliver_chat_dm</t>
  </si>
  <si>
    <t>digest_times</t>
  </si>
  <si>
    <t>json</t>
  </si>
  <si>
    <t>When to build</t>
  </si>
  <si>
    <t>rules</t>
  </si>
  <si>
    <t>always | never surface</t>
  </si>
  <si>
    <t>created_at</t>
  </si>
  <si>
    <t>datetime</t>
  </si>
  <si>
    <t>links</t>
  </si>
  <si>
    <t>CONNECTION.space_id -&gt; SPACE.id</t>
  </si>
  <si>
    <t>knows</t>
  </si>
  <si>
    <t>PERSON.space_id -&gt; SPACE.id</t>
  </si>
  <si>
    <t>reads</t>
  </si>
  <si>
    <t>BRIEF.space_id -&gt; SPACE.id</t>
  </si>
  <si>
    <t>child of</t>
  </si>
  <si>
    <t>space_id</t>
  </si>
  <si>
    <t>SPACE.id</t>
  </si>
  <si>
    <t>UQ - unique with provider + external_account</t>
  </si>
  <si>
    <t>provider</t>
  </si>
  <si>
    <t>UQ - gmail outlook slack discord whatsapp imessage</t>
  </si>
  <si>
    <t>external_account</t>
  </si>
  <si>
    <t>UQ - unique with space_id + provider</t>
  </si>
  <si>
    <t>display_name</t>
  </si>
  <si>
    <t>status</t>
  </si>
  <si>
    <t>connected | error | revoked</t>
  </si>
  <si>
    <t>read_only</t>
  </si>
  <si>
    <t>Default true</t>
  </si>
  <si>
    <t>token_ref</t>
  </si>
  <si>
    <t>Pointer only - no credentials in this table</t>
  </si>
  <si>
    <t>included_scopes</t>
  </si>
  <si>
    <t>Channels, labels, chats that count</t>
  </si>
  <si>
    <t>last_synced_at</t>
  </si>
  <si>
    <t>last_error</t>
  </si>
  <si>
    <t>text</t>
  </si>
  <si>
    <t>ingests</t>
  </si>
  <si>
    <t>MESSAGE.connection_id -&gt; CONNECTION.id</t>
  </si>
  <si>
    <t>UQ - unique with display_name</t>
  </si>
  <si>
    <t>UQ - unique with space_id</t>
  </si>
  <si>
    <t>handles</t>
  </si>
  <si>
    <t>Identities across providers</t>
  </si>
  <si>
    <t>is_vip</t>
  </si>
  <si>
    <t>first_seen_at</t>
  </si>
  <si>
    <t>authored</t>
  </si>
  <si>
    <t>MESSAGE.author_id -&gt; PERSON.id</t>
  </si>
  <si>
    <t>connection_id</t>
  </si>
  <si>
    <t>CONNECTION.id</t>
  </si>
  <si>
    <t>UQ - indexed with sent_at</t>
  </si>
  <si>
    <t>external_id</t>
  </si>
  <si>
    <t>UQ - idempotent ingest</t>
  </si>
  <si>
    <t>author_id</t>
  </si>
  <si>
    <t>PERSON.id</t>
  </si>
  <si>
    <t>scope_name</t>
  </si>
  <si>
    <t>sent_at</t>
  </si>
  <si>
    <t>body</t>
  </si>
  <si>
    <t>permalink</t>
  </si>
  <si>
    <t>url</t>
  </si>
  <si>
    <t>is_noise</t>
  </si>
  <si>
    <t>raw</t>
  </si>
  <si>
    <t>Provider payload</t>
  </si>
  <si>
    <t>leads</t>
  </si>
  <si>
    <t>BRIEF_ITEM.primary_message_id -&gt; MESSAGE.id</t>
  </si>
  <si>
    <t>cites</t>
  </si>
  <si>
    <t>M : N</t>
  </si>
  <si>
    <t>Join table (BriefItem.messages)</t>
  </si>
  <si>
    <t>UQ when scheduled</t>
  </si>
  <si>
    <t>window_start</t>
  </si>
  <si>
    <t>window_end</t>
  </si>
  <si>
    <t>trigger</t>
  </si>
  <si>
    <t>scheduled | on_demand</t>
  </si>
  <si>
    <t>building | ready | failed</t>
  </si>
  <si>
    <t>headline</t>
  </si>
  <si>
    <t>message_count</t>
  </si>
  <si>
    <t>topic_count</t>
  </si>
  <si>
    <t>read_seconds</t>
  </si>
  <si>
    <t>steps</t>
  </si>
  <si>
    <t>Generation progress</t>
  </si>
  <si>
    <t>model_version</t>
  </si>
  <si>
    <t>generated_at</t>
  </si>
  <si>
    <t>ranks</t>
  </si>
  <si>
    <t>BRIEF_ITEM.brief_id -&gt; BRIEF.id</t>
  </si>
  <si>
    <t>brief_id</t>
  </si>
  <si>
    <t>BRIEF.id</t>
  </si>
  <si>
    <t>UQ - unique with title, and with lane + rank</t>
  </si>
  <si>
    <t>title</t>
  </si>
  <si>
    <t>UQ per brief</t>
  </si>
  <si>
    <t>lane</t>
  </si>
  <si>
    <t>UQ - needs_you | moving | fyi</t>
  </si>
  <si>
    <t>rank</t>
  </si>
  <si>
    <t>UQ - stored, not computed at render</t>
  </si>
  <si>
    <t>primary_message_id</t>
  </si>
  <si>
    <t>MESSAGE.id</t>
  </si>
  <si>
    <t>SET_NULL - the quoted message</t>
  </si>
  <si>
    <t>summary</t>
  </si>
  <si>
    <t>why</t>
  </si>
  <si>
    <t>deadline_at</t>
  </si>
  <si>
    <t>state</t>
  </si>
  <si>
    <t>open | handled | snoozed | dismissed</t>
  </si>
  <si>
    <t>handled_at</t>
  </si>
  <si>
    <t>snoozed_until</t>
  </si>
  <si>
    <t>actions</t>
  </si>
  <si>
    <t>reply approve forward snooze calendar open</t>
  </si>
  <si>
    <t>draft_body</t>
  </si>
  <si>
    <t>draft_sent_at</t>
  </si>
  <si>
    <t>open_count</t>
  </si>
  <si>
    <t>feedback</t>
  </si>
  <si>
    <t>-1 | 0 | +1</t>
  </si>
  <si>
    <t>Nine edges. Read each row as: parent - verb - child.</t>
  </si>
  <si>
    <t>Parent</t>
  </si>
  <si>
    <t>Child</t>
  </si>
  <si>
    <t>Foreign key</t>
  </si>
  <si>
    <t>What the rule means here</t>
  </si>
  <si>
    <t>Delete the user and every Space goes with it.</t>
  </si>
  <si>
    <t>A Connection is meaningless outside its Space.</t>
  </si>
  <si>
    <t>People are scoped per Space, so work and personal stay separate.</t>
  </si>
  <si>
    <t>Briefs die with the Space they summarize.</t>
  </si>
  <si>
    <t>Unlink a provider and its ingested Messages are removed.</t>
  </si>
  <si>
    <t>A Person cannot be deleted while their Messages exist - no orphaned authorship.</t>
  </si>
  <si>
    <t>Items exist only as part of their Brief.</t>
  </si>
  <si>
    <t>The quoted message. If it is purged the item survives with the reference cleared.</t>
  </si>
  <si>
    <t>The receipts - every Message that supports the item.</t>
  </si>
  <si>
    <t>Matrix - parent (down) to child (across)</t>
  </si>
  <si>
    <t>-</t>
  </si>
  <si>
    <t>owns
CASCADE</t>
  </si>
  <si>
    <t>links
CASCADE</t>
  </si>
  <si>
    <t>knows
CASCADE</t>
  </si>
  <si>
    <t>reads
CASCADE</t>
  </si>
  <si>
    <t>ingests
CASCADE</t>
  </si>
  <si>
    <t>authored
PROTECT</t>
  </si>
  <si>
    <t>leads
SET_NULL
cites
M2M</t>
  </si>
  <si>
    <t>ranks
CASCADE</t>
  </si>
  <si>
    <t>MESSAGE -&gt; BRIEF_ITEM appears twice: 'leads' is the single quoted primary_message_id (SET_NULL); 'cites' is the many-to-many receipts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</si>
</sst>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F3352"/>
      <name val="Arial"/>
      <charset val="1"/>
    </font>
    <font>
      <i/>
      <sz val="10"/>
      <color rgb="FF5A6572"/>
      <name val="Arial"/>
      <charset val="1"/>
    </font>
    <font>
      <b/>
      <sz val="12"/>
      <color rgb="FF1F3352"/>
      <name val="Arial"/>
      <charset val="1"/>
    </font>
    <font>
      <sz val="10"/>
      <name val="Arial"/>
      <charset val="1"/>
    </font>
    <font>
      <b/>
      <sz val="10"/>
      <color rgb="FFFFFFFF"/>
      <name val="Arial"/>
      <charset val="1"/>
    </font>
    <font>
      <b/>
      <sz val="10"/>
      <color rgb="FF1F3352"/>
      <name val="Arial"/>
      <charset val="1"/>
    </font>
    <font>
      <b/>
      <sz val="10"/>
      <name val="Arial"/>
      <charset val="1"/>
    </font>
    <font>
      <i/>
      <sz val="9"/>
      <color rgb="FF7F8C99"/>
      <name val="Arial"/>
      <charset val="1"/>
    </font>
    <font>
      <i/>
      <sz val="10"/>
      <name val="Arial"/>
      <charset val="1"/>
    </font>
    <font>
      <sz val="9"/>
      <color rgb="FFC0C6CE"/>
      <name val="Arial"/>
      <charset val="1"/>
    </font>
    <font>
      <b/>
      <sz val="9"/>
      <name val="Arial"/>
      <charset val="1"/>
    </font>
    <font>
      <i/>
      <sz val="9"/>
      <color rgb="FF5A6572"/>
      <name val="Arial"/>
      <charset val="1"/>
    </font>
  </fonts>
  <fills count="11">
    <fill>
      <patternFill patternType="none"/>
    </fill>
    <fill>
      <patternFill patternType="gray125"/>
    </fill>
    <fill>
      <patternFill patternType="solid">
        <fgColor rgb="FF1F3352"/>
        <bgColor rgb="FF003366"/>
      </patternFill>
    </fill>
    <fill>
      <patternFill patternType="solid">
        <fgColor rgb="FFF5F7FA"/>
        <bgColor rgb="FFEDF1F7"/>
      </patternFill>
    </fill>
    <fill>
      <patternFill patternType="solid">
        <fgColor rgb="FFF8CBAD"/>
        <bgColor rgb="FFFFE699"/>
      </patternFill>
    </fill>
    <fill>
      <patternFill patternType="solid">
        <fgColor rgb="FFBDD7EE"/>
        <bgColor rgb="FFBFC7D1"/>
      </patternFill>
    </fill>
    <fill>
      <patternFill patternType="solid">
        <fgColor rgb="FFFFE699"/>
        <bgColor rgb="FFFDE9D9"/>
      </patternFill>
    </fill>
    <fill>
      <patternFill patternType="solid">
        <fgColor rgb="FFC6E0B4"/>
        <bgColor rgb="FFBDD7EE"/>
      </patternFill>
    </fill>
    <fill>
      <patternFill patternType="solid">
        <fgColor rgb="FFEDF1F7"/>
        <bgColor rgb="FFF5F7FA"/>
      </patternFill>
    </fill>
    <fill>
      <patternFill patternType="solid">
        <fgColor rgb="FFFDE9D9"/>
        <bgColor rgb="FFEDF1F7"/>
      </patternFill>
    </fill>
    <fill>
      <patternFill patternType="solid">
        <fgColor rgb="FFDEEAF6"/>
        <bgColor rgb="FFEDF1F7"/>
      </patternFill>
    </fill>
  </fills>
  <borders count="2">
    <border>
      <left/>
      <right/>
      <top/>
      <bottom/>
      <diagonal/>
    </border>
    <border>
      <left style="thin">
        <color rgb="FFBFC7D1"/>
      </left>
      <right style="thin">
        <color rgb="FFBFC7D1"/>
      </right>
      <top style="thin">
        <color rgb="FFBFC7D1"/>
      </top>
      <bottom style="thin">
        <color rgb="FFBFC7D1"/>
      </bottom>
      <diagonal/>
    </border>
  </borders>
  <cellStyleXfs count="1">
    <xf numFmtId="0" fontId="0" fillId="0" borderId="0"/>
  </cellStyleXfs>
  <cellXfs count="40">
    <xf numFmtId="0" fontId="0" fillId="0" borderId="0" xfId="0"/>
    <xf numFmtId="0" fontId="12" fillId="0" borderId="0" xfId="0" applyFont="1"/>
    <xf numFmtId="0" fontId="2" fillId="0" borderId="0" xfId="0" applyFont="1"/>
    <xf numFmtId="0" fontId="2" fillId="0" borderId="0" xfId="0" applyFont="1" applyAlignment="1">
      <alignment vertical="top" wrapText="1"/>
    </xf>
    <xf numFmtId="0" fontId="4" fillId="0" borderId="1" xfId="0" applyFont="1" applyBorder="1" applyAlignment="1">
      <alignment vertical="center"/>
    </xf>
    <xf numFmtId="0" fontId="4" fillId="0" borderId="0" xfId="0" applyFont="1"/>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xf>
    <xf numFmtId="0" fontId="6"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6" fillId="3" borderId="1" xfId="0" applyFont="1" applyFill="1" applyBorder="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7" fillId="0" borderId="1" xfId="0" applyFont="1" applyBorder="1"/>
    <xf numFmtId="0" fontId="7" fillId="0" borderId="1" xfId="0" applyFont="1" applyBorder="1" applyAlignment="1">
      <alignment horizontal="center" vertical="center"/>
    </xf>
    <xf numFmtId="0" fontId="0" fillId="0" borderId="1" xfId="0" applyBorder="1"/>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8" fillId="0" borderId="0" xfId="0" applyFont="1"/>
    <xf numFmtId="0" fontId="4" fillId="3" borderId="1" xfId="0" applyFont="1" applyFill="1" applyBorder="1"/>
    <xf numFmtId="0" fontId="7" fillId="9" borderId="1" xfId="0" applyFont="1" applyFill="1" applyBorder="1" applyAlignment="1">
      <alignment horizontal="center" vertical="center"/>
    </xf>
    <xf numFmtId="0" fontId="4" fillId="0" borderId="1" xfId="0" applyFont="1" applyBorder="1"/>
    <xf numFmtId="0" fontId="7" fillId="10" borderId="1" xfId="0" applyFont="1" applyFill="1" applyBorder="1" applyAlignment="1">
      <alignment horizontal="center" vertical="center"/>
    </xf>
    <xf numFmtId="0" fontId="9" fillId="0" borderId="1" xfId="0" applyFont="1" applyBorder="1" applyAlignment="1">
      <alignment vertical="center"/>
    </xf>
    <xf numFmtId="0" fontId="0" fillId="2" borderId="1" xfId="0" applyFill="1" applyBorder="1"/>
    <xf numFmtId="0" fontId="5" fillId="2" borderId="1" xfId="0" applyFont="1" applyFill="1" applyBorder="1" applyAlignment="1">
      <alignment vertical="center"/>
    </xf>
    <xf numFmtId="0" fontId="10"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6CE"/>
      <rgbColor rgb="FF7F8C99"/>
      <rgbColor rgb="FF9999FF"/>
      <rgbColor rgb="FF993366"/>
      <rgbColor rgb="FFF5F7FA"/>
      <rgbColor rgb="FFDEEAF6"/>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F1F7"/>
      <rgbColor rgb="FFC6E0B4"/>
      <rgbColor rgb="FFFFE699"/>
      <rgbColor rgb="FFBFC7D1"/>
      <rgbColor rgb="FFFDE9D9"/>
      <rgbColor rgb="FFCC99FF"/>
      <rgbColor rgb="FFF8CBAD"/>
      <rgbColor rgb="FF3366FF"/>
      <rgbColor rgb="FF33CCCC"/>
      <rgbColor rgb="FF99CC00"/>
      <rgbColor rgb="FFFFCC00"/>
      <rgbColor rgb="FFFF9900"/>
      <rgbColor rgb="FFFF6600"/>
      <rgbColor rgb="FF5A6572"/>
      <rgbColor rgb="FF969696"/>
      <rgbColor rgb="FF003366"/>
      <rgbColor rgb="FF339966"/>
      <rgbColor rgb="FF003300"/>
      <rgbColor rgb="FF333300"/>
      <rgbColor rgb="FF993300"/>
      <rgbColor rgb="FF993366"/>
      <rgbColor rgb="FF333399"/>
      <rgbColor rgb="FF1F33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Fields" displayName="AllFields" ref="A1:G72" totalsRowShown="0">
  <autoFilter ref="A1:G72" xr:uid="{00000000-0009-0000-0100-000001000000}"/>
  <tableColumns count="7">
    <tableColumn id="1" xr3:uid="{00000000-0010-0000-0000-000001000000}" name="Table"/>
    <tableColumn id="2" xr3:uid="{00000000-0010-0000-0000-000002000000}" name="#"/>
    <tableColumn id="3" xr3:uid="{00000000-0010-0000-0000-000003000000}" name="Field"/>
    <tableColumn id="4" xr3:uid="{00000000-0010-0000-0000-000004000000}" name="Type"/>
    <tableColumn id="5" xr3:uid="{00000000-0010-0000-0000-000005000000}" name="Key"/>
    <tableColumn id="6" xr3:uid="{00000000-0010-0000-0000-000006000000}" name="References"/>
    <tableColumn id="7" xr3:uid="{00000000-0010-0000-0000-000007000000}" name="Constraints / 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zoomScaleNormal="100" workbookViewId="0">
      <pane ySplit="2" topLeftCell="A6" activePane="bottomLeft" state="frozen"/>
      <selection pane="bottomLeft" activeCell="A5" sqref="A5:F5"/>
    </sheetView>
  </sheetViews>
  <sheetFormatPr defaultColWidth="8.6640625" defaultRowHeight="14.4" x14ac:dyDescent="0.3"/>
  <cols>
    <col min="1" max="1" width="22" customWidth="1"/>
    <col min="2" max="2" width="16" customWidth="1"/>
    <col min="3" max="3" width="14" customWidth="1"/>
    <col min="4" max="4" width="62" customWidth="1"/>
    <col min="5" max="6" width="14" customWidth="1"/>
  </cols>
  <sheetData>
    <row r="1" spans="1:6" ht="21" x14ac:dyDescent="0.4">
      <c r="A1" s="6" t="s">
        <v>0</v>
      </c>
    </row>
    <row r="2" spans="1:6" x14ac:dyDescent="0.3">
      <c r="A2" s="7" t="s">
        <v>1</v>
      </c>
    </row>
    <row r="4" spans="1:6" ht="15.6" x14ac:dyDescent="0.3">
      <c r="A4" s="8" t="s">
        <v>2</v>
      </c>
    </row>
    <row r="5" spans="1:6" x14ac:dyDescent="0.3">
      <c r="A5" s="5" t="s">
        <v>3</v>
      </c>
      <c r="B5" s="5"/>
      <c r="C5" s="5"/>
      <c r="D5" s="5"/>
      <c r="E5" s="5"/>
      <c r="F5" s="5"/>
    </row>
    <row r="7" spans="1:6" ht="15.6" x14ac:dyDescent="0.3">
      <c r="A7" s="8" t="s">
        <v>4</v>
      </c>
    </row>
    <row r="8" spans="1:6" x14ac:dyDescent="0.3">
      <c r="A8" s="9" t="s">
        <v>5</v>
      </c>
      <c r="B8" s="9" t="s">
        <v>6</v>
      </c>
      <c r="C8" s="9" t="s">
        <v>7</v>
      </c>
      <c r="D8" s="9" t="s">
        <v>8</v>
      </c>
    </row>
    <row r="9" spans="1:6" ht="18" customHeight="1" x14ac:dyDescent="0.3">
      <c r="A9" s="10" t="s">
        <v>9</v>
      </c>
      <c r="B9" s="11">
        <f>COUNTA(USER!B4:B5)</f>
        <v>2</v>
      </c>
      <c r="C9" s="11" t="s">
        <v>9</v>
      </c>
      <c r="D9" s="12" t="s">
        <v>10</v>
      </c>
    </row>
    <row r="10" spans="1:6" ht="18" customHeight="1" x14ac:dyDescent="0.3">
      <c r="A10" s="13" t="s">
        <v>11</v>
      </c>
      <c r="B10" s="14">
        <f>COUNTA(SPACE!B4:B15)</f>
        <v>12</v>
      </c>
      <c r="C10" s="14" t="s">
        <v>11</v>
      </c>
      <c r="D10" s="15" t="s">
        <v>12</v>
      </c>
    </row>
    <row r="11" spans="1:6" ht="18" customHeight="1" x14ac:dyDescent="0.3">
      <c r="A11" s="10" t="s">
        <v>13</v>
      </c>
      <c r="B11" s="11">
        <f>COUNTA(CONNECTION!B4:B14)</f>
        <v>11</v>
      </c>
      <c r="C11" s="11" t="s">
        <v>13</v>
      </c>
      <c r="D11" s="12" t="s">
        <v>14</v>
      </c>
    </row>
    <row r="12" spans="1:6" ht="18" customHeight="1" x14ac:dyDescent="0.3">
      <c r="A12" s="13" t="s">
        <v>15</v>
      </c>
      <c r="B12" s="14">
        <f>COUNTA(PERSON!B4:B9)</f>
        <v>6</v>
      </c>
      <c r="C12" s="14" t="s">
        <v>15</v>
      </c>
      <c r="D12" s="15" t="s">
        <v>16</v>
      </c>
    </row>
    <row r="13" spans="1:6" ht="18" customHeight="1" x14ac:dyDescent="0.3">
      <c r="A13" s="10" t="s">
        <v>17</v>
      </c>
      <c r="B13" s="11">
        <f>COUNTA(MESSAGE!B4:B13)</f>
        <v>10</v>
      </c>
      <c r="C13" s="11" t="s">
        <v>17</v>
      </c>
      <c r="D13" s="12" t="s">
        <v>18</v>
      </c>
    </row>
    <row r="14" spans="1:6" ht="18" customHeight="1" x14ac:dyDescent="0.3">
      <c r="A14" s="13" t="s">
        <v>19</v>
      </c>
      <c r="B14" s="14">
        <f>COUNTA(BRIEF!B4:B16)</f>
        <v>13</v>
      </c>
      <c r="C14" s="14" t="s">
        <v>19</v>
      </c>
      <c r="D14" s="15" t="s">
        <v>20</v>
      </c>
    </row>
    <row r="15" spans="1:6" ht="18" customHeight="1" x14ac:dyDescent="0.3">
      <c r="A15" s="10" t="s">
        <v>21</v>
      </c>
      <c r="B15" s="11">
        <f>COUNTA(BRIEF_ITEM!B4:B20)</f>
        <v>17</v>
      </c>
      <c r="C15" s="11" t="s">
        <v>21</v>
      </c>
      <c r="D15" s="12" t="s">
        <v>22</v>
      </c>
    </row>
    <row r="16" spans="1:6" x14ac:dyDescent="0.3">
      <c r="A16" s="16" t="s">
        <v>23</v>
      </c>
      <c r="B16" s="17">
        <f>SUM(B9:B15)</f>
        <v>71</v>
      </c>
      <c r="C16" s="18"/>
      <c r="D16" s="18"/>
    </row>
    <row r="19" spans="1:4" ht="15.6" x14ac:dyDescent="0.3">
      <c r="A19" s="8" t="s">
        <v>24</v>
      </c>
    </row>
    <row r="20" spans="1:4" x14ac:dyDescent="0.3">
      <c r="A20" s="9" t="s">
        <v>25</v>
      </c>
      <c r="B20" s="9" t="s">
        <v>26</v>
      </c>
      <c r="C20" s="9" t="s">
        <v>27</v>
      </c>
    </row>
    <row r="21" spans="1:4" x14ac:dyDescent="0.3">
      <c r="A21" s="19" t="s">
        <v>28</v>
      </c>
      <c r="B21" s="12" t="s">
        <v>29</v>
      </c>
      <c r="C21" s="4" t="s">
        <v>30</v>
      </c>
      <c r="D21" s="4"/>
    </row>
    <row r="22" spans="1:4" x14ac:dyDescent="0.3">
      <c r="A22" s="20" t="s">
        <v>31</v>
      </c>
      <c r="B22" s="12" t="s">
        <v>29</v>
      </c>
      <c r="C22" s="4" t="s">
        <v>32</v>
      </c>
      <c r="D22" s="4"/>
    </row>
    <row r="23" spans="1:4" x14ac:dyDescent="0.3">
      <c r="A23" s="21" t="s">
        <v>33</v>
      </c>
      <c r="B23" s="12" t="s">
        <v>29</v>
      </c>
      <c r="C23" s="4" t="s">
        <v>34</v>
      </c>
      <c r="D23" s="4"/>
    </row>
    <row r="24" spans="1:4" x14ac:dyDescent="0.3">
      <c r="A24" s="22" t="s">
        <v>35</v>
      </c>
      <c r="B24" s="12" t="s">
        <v>36</v>
      </c>
      <c r="C24" s="4" t="s">
        <v>37</v>
      </c>
      <c r="D24" s="4"/>
    </row>
    <row r="25" spans="1:4" x14ac:dyDescent="0.3">
      <c r="A25" s="23" t="s">
        <v>38</v>
      </c>
      <c r="B25" s="12" t="s">
        <v>39</v>
      </c>
      <c r="C25" s="4" t="s">
        <v>40</v>
      </c>
      <c r="D25" s="4"/>
    </row>
    <row r="26" spans="1:4" x14ac:dyDescent="0.3">
      <c r="A26" s="23" t="s">
        <v>41</v>
      </c>
      <c r="B26" s="12" t="s">
        <v>39</v>
      </c>
      <c r="C26" s="4" t="s">
        <v>42</v>
      </c>
      <c r="D26" s="4"/>
    </row>
    <row r="27" spans="1:4" x14ac:dyDescent="0.3">
      <c r="A27" s="23" t="s">
        <v>43</v>
      </c>
      <c r="B27" s="12" t="s">
        <v>39</v>
      </c>
      <c r="C27" s="4" t="s">
        <v>44</v>
      </c>
      <c r="D27" s="4"/>
    </row>
    <row r="28" spans="1:4" x14ac:dyDescent="0.3">
      <c r="A28" s="23" t="s">
        <v>45</v>
      </c>
      <c r="B28" s="12" t="s">
        <v>46</v>
      </c>
      <c r="C28" s="4" t="s">
        <v>47</v>
      </c>
      <c r="D28" s="4"/>
    </row>
    <row r="31" spans="1:4" ht="15.6" x14ac:dyDescent="0.3">
      <c r="A31" s="8" t="s">
        <v>48</v>
      </c>
    </row>
    <row r="32" spans="1:4" x14ac:dyDescent="0.3">
      <c r="A32" s="9" t="s">
        <v>49</v>
      </c>
      <c r="B32" s="9" t="s">
        <v>50</v>
      </c>
    </row>
    <row r="33" spans="1:6" x14ac:dyDescent="0.3">
      <c r="A33" s="11" t="s">
        <v>51</v>
      </c>
      <c r="B33" s="4" t="s">
        <v>52</v>
      </c>
      <c r="C33" s="4"/>
      <c r="D33" s="4"/>
    </row>
    <row r="34" spans="1:6" x14ac:dyDescent="0.3">
      <c r="A34" s="11" t="s">
        <v>53</v>
      </c>
      <c r="B34" s="4" t="s">
        <v>54</v>
      </c>
      <c r="C34" s="4"/>
      <c r="D34" s="4"/>
    </row>
    <row r="35" spans="1:6" x14ac:dyDescent="0.3">
      <c r="A35" s="11" t="s">
        <v>55</v>
      </c>
      <c r="B35" s="4" t="s">
        <v>56</v>
      </c>
      <c r="C35" s="4"/>
      <c r="D35" s="4"/>
    </row>
    <row r="36" spans="1:6" x14ac:dyDescent="0.3">
      <c r="A36" s="11" t="s">
        <v>57</v>
      </c>
      <c r="B36" s="4" t="s">
        <v>58</v>
      </c>
      <c r="C36" s="4"/>
      <c r="D36" s="4"/>
    </row>
    <row r="37" spans="1:6" x14ac:dyDescent="0.3">
      <c r="A37" s="11" t="s">
        <v>59</v>
      </c>
      <c r="B37" s="4" t="s">
        <v>60</v>
      </c>
      <c r="C37" s="4"/>
      <c r="D37" s="4"/>
    </row>
    <row r="38" spans="1:6" x14ac:dyDescent="0.3">
      <c r="A38" s="11" t="s">
        <v>61</v>
      </c>
      <c r="B38" s="4" t="s">
        <v>62</v>
      </c>
      <c r="C38" s="4"/>
      <c r="D38" s="4"/>
    </row>
    <row r="39" spans="1:6" x14ac:dyDescent="0.3">
      <c r="A39" s="11" t="s">
        <v>63</v>
      </c>
      <c r="B39" s="4" t="s">
        <v>64</v>
      </c>
      <c r="C39" s="4"/>
      <c r="D39" s="4"/>
    </row>
    <row r="40" spans="1:6" x14ac:dyDescent="0.3">
      <c r="A40" s="11" t="s">
        <v>65</v>
      </c>
      <c r="B40" s="4" t="s">
        <v>66</v>
      </c>
      <c r="C40" s="4"/>
      <c r="D40" s="4"/>
    </row>
    <row r="41" spans="1:6" x14ac:dyDescent="0.3">
      <c r="A41" s="11" t="s">
        <v>67</v>
      </c>
      <c r="B41" s="4" t="s">
        <v>68</v>
      </c>
      <c r="C41" s="4"/>
      <c r="D41" s="4"/>
    </row>
    <row r="44" spans="1:6" ht="15.6" x14ac:dyDescent="0.3">
      <c r="A44" s="8" t="s">
        <v>69</v>
      </c>
    </row>
    <row r="45" spans="1:6" ht="25.5" customHeight="1" x14ac:dyDescent="0.3">
      <c r="A45" s="3" t="s">
        <v>70</v>
      </c>
      <c r="B45" s="3"/>
      <c r="C45" s="3"/>
      <c r="D45" s="3"/>
      <c r="E45" s="3"/>
      <c r="F45" s="3"/>
    </row>
    <row r="46" spans="1:6" x14ac:dyDescent="0.3">
      <c r="A46" s="3"/>
      <c r="B46" s="3"/>
      <c r="C46" s="3"/>
      <c r="D46" s="3"/>
      <c r="E46" s="3"/>
      <c r="F46" s="3"/>
    </row>
    <row r="48" spans="1:6" x14ac:dyDescent="0.3">
      <c r="A48" s="24" t="s">
        <v>71</v>
      </c>
    </row>
  </sheetData>
  <mergeCells count="19">
    <mergeCell ref="B39:D39"/>
    <mergeCell ref="B40:D40"/>
    <mergeCell ref="B41:D41"/>
    <mergeCell ref="A45:F46"/>
    <mergeCell ref="B34:D34"/>
    <mergeCell ref="B35:D35"/>
    <mergeCell ref="B36:D36"/>
    <mergeCell ref="B37:D37"/>
    <mergeCell ref="B38:D38"/>
    <mergeCell ref="C25:D25"/>
    <mergeCell ref="C26:D26"/>
    <mergeCell ref="C27:D27"/>
    <mergeCell ref="C28:D28"/>
    <mergeCell ref="B33:D33"/>
    <mergeCell ref="A5:F5"/>
    <mergeCell ref="C21:D21"/>
    <mergeCell ref="C22:D22"/>
    <mergeCell ref="C23:D23"/>
    <mergeCell ref="C24:D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9</v>
      </c>
    </row>
    <row r="2" spans="1:6" x14ac:dyDescent="0.3">
      <c r="A2" s="2" t="s">
        <v>10</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79</v>
      </c>
      <c r="C5" s="27" t="s">
        <v>80</v>
      </c>
      <c r="D5" s="28" t="s">
        <v>43</v>
      </c>
      <c r="E5" s="12"/>
      <c r="F5" s="12" t="s">
        <v>81</v>
      </c>
    </row>
    <row r="7" spans="1:6" ht="15.6" x14ac:dyDescent="0.3">
      <c r="A7" s="8" t="s">
        <v>82</v>
      </c>
    </row>
    <row r="8" spans="1:6" x14ac:dyDescent="0.3">
      <c r="A8" s="9" t="s">
        <v>83</v>
      </c>
      <c r="B8" s="9" t="s">
        <v>84</v>
      </c>
      <c r="C8" s="9" t="s">
        <v>85</v>
      </c>
      <c r="D8" s="9" t="s">
        <v>86</v>
      </c>
      <c r="E8" s="9" t="s">
        <v>87</v>
      </c>
      <c r="F8" s="9" t="s">
        <v>88</v>
      </c>
    </row>
    <row r="9" spans="1:6" x14ac:dyDescent="0.3">
      <c r="A9" s="12" t="s">
        <v>89</v>
      </c>
      <c r="B9" s="12" t="s">
        <v>90</v>
      </c>
      <c r="C9" s="12" t="s">
        <v>11</v>
      </c>
      <c r="D9" s="12" t="s">
        <v>91</v>
      </c>
      <c r="E9" s="19" t="s">
        <v>28</v>
      </c>
      <c r="F9" s="12" t="s">
        <v>92</v>
      </c>
    </row>
  </sheetData>
  <mergeCells count="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11</v>
      </c>
    </row>
    <row r="2" spans="1:6" x14ac:dyDescent="0.3">
      <c r="A2" s="2" t="s">
        <v>12</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93</v>
      </c>
      <c r="C5" s="27" t="s">
        <v>78</v>
      </c>
      <c r="D5" s="28" t="s">
        <v>41</v>
      </c>
      <c r="E5" s="12" t="s">
        <v>94</v>
      </c>
      <c r="F5" s="12" t="s">
        <v>95</v>
      </c>
    </row>
    <row r="6" spans="1:6" ht="16.5" customHeight="1" x14ac:dyDescent="0.3">
      <c r="A6" s="14">
        <v>3</v>
      </c>
      <c r="B6" s="15" t="s">
        <v>96</v>
      </c>
      <c r="C6" s="25" t="s">
        <v>80</v>
      </c>
      <c r="D6" s="17"/>
      <c r="E6" s="15"/>
      <c r="F6" s="15" t="s">
        <v>97</v>
      </c>
    </row>
    <row r="7" spans="1:6" ht="16.5" customHeight="1" x14ac:dyDescent="0.3">
      <c r="A7" s="11">
        <v>4</v>
      </c>
      <c r="B7" s="12" t="s">
        <v>98</v>
      </c>
      <c r="C7" s="27" t="s">
        <v>78</v>
      </c>
      <c r="D7" s="17"/>
      <c r="E7" s="12"/>
      <c r="F7" s="12" t="s">
        <v>99</v>
      </c>
    </row>
    <row r="8" spans="1:6" ht="16.5" customHeight="1" x14ac:dyDescent="0.3">
      <c r="A8" s="14">
        <v>5</v>
      </c>
      <c r="B8" s="15" t="s">
        <v>100</v>
      </c>
      <c r="C8" s="25" t="s">
        <v>101</v>
      </c>
      <c r="D8" s="17"/>
      <c r="E8" s="15"/>
      <c r="F8" s="15"/>
    </row>
    <row r="9" spans="1:6" ht="16.5" customHeight="1" x14ac:dyDescent="0.3">
      <c r="A9" s="11">
        <v>6</v>
      </c>
      <c r="B9" s="12" t="s">
        <v>102</v>
      </c>
      <c r="C9" s="27" t="s">
        <v>101</v>
      </c>
      <c r="D9" s="17"/>
      <c r="E9" s="12"/>
      <c r="F9" s="12"/>
    </row>
    <row r="10" spans="1:6" ht="16.5" customHeight="1" x14ac:dyDescent="0.3">
      <c r="A10" s="14">
        <v>7</v>
      </c>
      <c r="B10" s="15" t="s">
        <v>103</v>
      </c>
      <c r="C10" s="25" t="s">
        <v>104</v>
      </c>
      <c r="D10" s="17"/>
      <c r="E10" s="15"/>
      <c r="F10" s="15"/>
    </row>
    <row r="11" spans="1:6" ht="16.5" customHeight="1" x14ac:dyDescent="0.3">
      <c r="A11" s="11">
        <v>8</v>
      </c>
      <c r="B11" s="12" t="s">
        <v>105</v>
      </c>
      <c r="C11" s="27" t="s">
        <v>104</v>
      </c>
      <c r="D11" s="17"/>
      <c r="E11" s="12"/>
      <c r="F11" s="12"/>
    </row>
    <row r="12" spans="1:6" ht="16.5" customHeight="1" x14ac:dyDescent="0.3">
      <c r="A12" s="14">
        <v>9</v>
      </c>
      <c r="B12" s="15" t="s">
        <v>106</v>
      </c>
      <c r="C12" s="25" t="s">
        <v>104</v>
      </c>
      <c r="D12" s="17"/>
      <c r="E12" s="15"/>
      <c r="F12" s="15"/>
    </row>
    <row r="13" spans="1:6" ht="16.5" customHeight="1" x14ac:dyDescent="0.3">
      <c r="A13" s="11">
        <v>10</v>
      </c>
      <c r="B13" s="12" t="s">
        <v>107</v>
      </c>
      <c r="C13" s="27" t="s">
        <v>108</v>
      </c>
      <c r="D13" s="17"/>
      <c r="E13" s="12"/>
      <c r="F13" s="12" t="s">
        <v>109</v>
      </c>
    </row>
    <row r="14" spans="1:6" ht="16.5" customHeight="1" x14ac:dyDescent="0.3">
      <c r="A14" s="14">
        <v>11</v>
      </c>
      <c r="B14" s="15" t="s">
        <v>110</v>
      </c>
      <c r="C14" s="25" t="s">
        <v>108</v>
      </c>
      <c r="D14" s="17"/>
      <c r="E14" s="15"/>
      <c r="F14" s="15" t="s">
        <v>111</v>
      </c>
    </row>
    <row r="15" spans="1:6" ht="16.5" customHeight="1" x14ac:dyDescent="0.3">
      <c r="A15" s="11">
        <v>12</v>
      </c>
      <c r="B15" s="12" t="s">
        <v>112</v>
      </c>
      <c r="C15" s="27" t="s">
        <v>113</v>
      </c>
      <c r="D15" s="17"/>
      <c r="E15" s="12"/>
      <c r="F15" s="12"/>
    </row>
    <row r="17" spans="1:6" ht="15.6" x14ac:dyDescent="0.3">
      <c r="A17" s="8" t="s">
        <v>82</v>
      </c>
    </row>
    <row r="18" spans="1:6" x14ac:dyDescent="0.3">
      <c r="A18" s="9" t="s">
        <v>83</v>
      </c>
      <c r="B18" s="9" t="s">
        <v>84</v>
      </c>
      <c r="C18" s="9" t="s">
        <v>85</v>
      </c>
      <c r="D18" s="9" t="s">
        <v>86</v>
      </c>
      <c r="E18" s="9" t="s">
        <v>87</v>
      </c>
      <c r="F18" s="9" t="s">
        <v>88</v>
      </c>
    </row>
    <row r="19" spans="1:6" x14ac:dyDescent="0.3">
      <c r="A19" s="12" t="s">
        <v>89</v>
      </c>
      <c r="B19" s="12" t="s">
        <v>114</v>
      </c>
      <c r="C19" s="12" t="s">
        <v>13</v>
      </c>
      <c r="D19" s="12" t="s">
        <v>91</v>
      </c>
      <c r="E19" s="19" t="s">
        <v>28</v>
      </c>
      <c r="F19" s="12" t="s">
        <v>115</v>
      </c>
    </row>
    <row r="20" spans="1:6" x14ac:dyDescent="0.3">
      <c r="A20" s="12" t="s">
        <v>89</v>
      </c>
      <c r="B20" s="12" t="s">
        <v>116</v>
      </c>
      <c r="C20" s="12" t="s">
        <v>15</v>
      </c>
      <c r="D20" s="12" t="s">
        <v>91</v>
      </c>
      <c r="E20" s="19" t="s">
        <v>28</v>
      </c>
      <c r="F20" s="12" t="s">
        <v>117</v>
      </c>
    </row>
    <row r="21" spans="1:6" x14ac:dyDescent="0.3">
      <c r="A21" s="12" t="s">
        <v>89</v>
      </c>
      <c r="B21" s="12" t="s">
        <v>118</v>
      </c>
      <c r="C21" s="12" t="s">
        <v>19</v>
      </c>
      <c r="D21" s="12" t="s">
        <v>91</v>
      </c>
      <c r="E21" s="19" t="s">
        <v>28</v>
      </c>
      <c r="F21" s="12" t="s">
        <v>119</v>
      </c>
    </row>
    <row r="22" spans="1:6" x14ac:dyDescent="0.3">
      <c r="A22" s="12" t="s">
        <v>120</v>
      </c>
      <c r="B22" s="12" t="s">
        <v>90</v>
      </c>
      <c r="C22" s="12" t="s">
        <v>9</v>
      </c>
      <c r="D22" s="12" t="s">
        <v>91</v>
      </c>
      <c r="E22" s="19" t="s">
        <v>28</v>
      </c>
      <c r="F22" s="12" t="s">
        <v>92</v>
      </c>
    </row>
  </sheetData>
  <mergeCells count="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13</v>
      </c>
    </row>
    <row r="2" spans="1:6" x14ac:dyDescent="0.3">
      <c r="A2" s="2" t="s">
        <v>14</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121</v>
      </c>
      <c r="C5" s="27" t="s">
        <v>78</v>
      </c>
      <c r="D5" s="28" t="s">
        <v>41</v>
      </c>
      <c r="E5" s="12" t="s">
        <v>122</v>
      </c>
      <c r="F5" s="12" t="s">
        <v>123</v>
      </c>
    </row>
    <row r="6" spans="1:6" ht="16.5" customHeight="1" x14ac:dyDescent="0.3">
      <c r="A6" s="14">
        <v>3</v>
      </c>
      <c r="B6" s="15" t="s">
        <v>124</v>
      </c>
      <c r="C6" s="25" t="s">
        <v>80</v>
      </c>
      <c r="D6" s="17"/>
      <c r="E6" s="15"/>
      <c r="F6" s="15" t="s">
        <v>125</v>
      </c>
    </row>
    <row r="7" spans="1:6" ht="16.5" customHeight="1" x14ac:dyDescent="0.3">
      <c r="A7" s="11">
        <v>4</v>
      </c>
      <c r="B7" s="12" t="s">
        <v>126</v>
      </c>
      <c r="C7" s="27" t="s">
        <v>80</v>
      </c>
      <c r="D7" s="17"/>
      <c r="E7" s="12"/>
      <c r="F7" s="12" t="s">
        <v>127</v>
      </c>
    </row>
    <row r="8" spans="1:6" ht="16.5" customHeight="1" x14ac:dyDescent="0.3">
      <c r="A8" s="14">
        <v>5</v>
      </c>
      <c r="B8" s="15" t="s">
        <v>128</v>
      </c>
      <c r="C8" s="25" t="s">
        <v>80</v>
      </c>
      <c r="D8" s="17"/>
      <c r="E8" s="15"/>
      <c r="F8" s="15"/>
    </row>
    <row r="9" spans="1:6" ht="16.5" customHeight="1" x14ac:dyDescent="0.3">
      <c r="A9" s="11">
        <v>6</v>
      </c>
      <c r="B9" s="12" t="s">
        <v>129</v>
      </c>
      <c r="C9" s="27" t="s">
        <v>80</v>
      </c>
      <c r="D9" s="17"/>
      <c r="E9" s="12"/>
      <c r="F9" s="12" t="s">
        <v>130</v>
      </c>
    </row>
    <row r="10" spans="1:6" ht="16.5" customHeight="1" x14ac:dyDescent="0.3">
      <c r="A10" s="14">
        <v>7</v>
      </c>
      <c r="B10" s="15" t="s">
        <v>131</v>
      </c>
      <c r="C10" s="25" t="s">
        <v>104</v>
      </c>
      <c r="D10" s="17"/>
      <c r="E10" s="15"/>
      <c r="F10" s="15" t="s">
        <v>132</v>
      </c>
    </row>
    <row r="11" spans="1:6" ht="16.5" customHeight="1" x14ac:dyDescent="0.3">
      <c r="A11" s="11">
        <v>8</v>
      </c>
      <c r="B11" s="12" t="s">
        <v>133</v>
      </c>
      <c r="C11" s="27" t="s">
        <v>80</v>
      </c>
      <c r="D11" s="17"/>
      <c r="E11" s="12"/>
      <c r="F11" s="12" t="s">
        <v>134</v>
      </c>
    </row>
    <row r="12" spans="1:6" ht="16.5" customHeight="1" x14ac:dyDescent="0.3">
      <c r="A12" s="14">
        <v>9</v>
      </c>
      <c r="B12" s="15" t="s">
        <v>135</v>
      </c>
      <c r="C12" s="25" t="s">
        <v>108</v>
      </c>
      <c r="D12" s="17"/>
      <c r="E12" s="15"/>
      <c r="F12" s="15" t="s">
        <v>136</v>
      </c>
    </row>
    <row r="13" spans="1:6" ht="16.5" customHeight="1" x14ac:dyDescent="0.3">
      <c r="A13" s="11">
        <v>10</v>
      </c>
      <c r="B13" s="12" t="s">
        <v>137</v>
      </c>
      <c r="C13" s="27" t="s">
        <v>113</v>
      </c>
      <c r="D13" s="17"/>
      <c r="E13" s="12"/>
      <c r="F13" s="12"/>
    </row>
    <row r="14" spans="1:6" ht="16.5" customHeight="1" x14ac:dyDescent="0.3">
      <c r="A14" s="14">
        <v>11</v>
      </c>
      <c r="B14" s="15" t="s">
        <v>138</v>
      </c>
      <c r="C14" s="25" t="s">
        <v>139</v>
      </c>
      <c r="D14" s="17"/>
      <c r="E14" s="15"/>
      <c r="F14" s="15"/>
    </row>
    <row r="16" spans="1:6" ht="15.6" x14ac:dyDescent="0.3">
      <c r="A16" s="8" t="s">
        <v>82</v>
      </c>
    </row>
    <row r="17" spans="1:6" x14ac:dyDescent="0.3">
      <c r="A17" s="9" t="s">
        <v>83</v>
      </c>
      <c r="B17" s="9" t="s">
        <v>84</v>
      </c>
      <c r="C17" s="9" t="s">
        <v>85</v>
      </c>
      <c r="D17" s="9" t="s">
        <v>86</v>
      </c>
      <c r="E17" s="9" t="s">
        <v>87</v>
      </c>
      <c r="F17" s="9" t="s">
        <v>88</v>
      </c>
    </row>
    <row r="18" spans="1:6" x14ac:dyDescent="0.3">
      <c r="A18" s="12" t="s">
        <v>89</v>
      </c>
      <c r="B18" s="12" t="s">
        <v>140</v>
      </c>
      <c r="C18" s="12" t="s">
        <v>17</v>
      </c>
      <c r="D18" s="12" t="s">
        <v>91</v>
      </c>
      <c r="E18" s="19" t="s">
        <v>28</v>
      </c>
      <c r="F18" s="12" t="s">
        <v>141</v>
      </c>
    </row>
    <row r="19" spans="1:6" x14ac:dyDescent="0.3">
      <c r="A19" s="12" t="s">
        <v>120</v>
      </c>
      <c r="B19" s="12" t="s">
        <v>114</v>
      </c>
      <c r="C19" s="12" t="s">
        <v>11</v>
      </c>
      <c r="D19" s="12" t="s">
        <v>91</v>
      </c>
      <c r="E19" s="19" t="s">
        <v>28</v>
      </c>
      <c r="F19" s="12" t="s">
        <v>115</v>
      </c>
    </row>
  </sheetData>
  <mergeCells count="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15</v>
      </c>
    </row>
    <row r="2" spans="1:6" x14ac:dyDescent="0.3">
      <c r="A2" s="2" t="s">
        <v>16</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121</v>
      </c>
      <c r="C5" s="27" t="s">
        <v>78</v>
      </c>
      <c r="D5" s="28" t="s">
        <v>41</v>
      </c>
      <c r="E5" s="12" t="s">
        <v>122</v>
      </c>
      <c r="F5" s="12" t="s">
        <v>142</v>
      </c>
    </row>
    <row r="6" spans="1:6" ht="16.5" customHeight="1" x14ac:dyDescent="0.3">
      <c r="A6" s="14">
        <v>3</v>
      </c>
      <c r="B6" s="15" t="s">
        <v>128</v>
      </c>
      <c r="C6" s="25" t="s">
        <v>80</v>
      </c>
      <c r="D6" s="17"/>
      <c r="E6" s="15"/>
      <c r="F6" s="15" t="s">
        <v>143</v>
      </c>
    </row>
    <row r="7" spans="1:6" ht="16.5" customHeight="1" x14ac:dyDescent="0.3">
      <c r="A7" s="11">
        <v>4</v>
      </c>
      <c r="B7" s="12" t="s">
        <v>144</v>
      </c>
      <c r="C7" s="27" t="s">
        <v>108</v>
      </c>
      <c r="D7" s="17"/>
      <c r="E7" s="12"/>
      <c r="F7" s="12" t="s">
        <v>145</v>
      </c>
    </row>
    <row r="8" spans="1:6" ht="16.5" customHeight="1" x14ac:dyDescent="0.3">
      <c r="A8" s="14">
        <v>5</v>
      </c>
      <c r="B8" s="15" t="s">
        <v>146</v>
      </c>
      <c r="C8" s="25" t="s">
        <v>104</v>
      </c>
      <c r="D8" s="17"/>
      <c r="E8" s="15"/>
      <c r="F8" s="15"/>
    </row>
    <row r="9" spans="1:6" ht="16.5" customHeight="1" x14ac:dyDescent="0.3">
      <c r="A9" s="11">
        <v>6</v>
      </c>
      <c r="B9" s="12" t="s">
        <v>147</v>
      </c>
      <c r="C9" s="27" t="s">
        <v>113</v>
      </c>
      <c r="D9" s="17"/>
      <c r="E9" s="12"/>
      <c r="F9" s="12"/>
    </row>
    <row r="11" spans="1:6" ht="15.6" x14ac:dyDescent="0.3">
      <c r="A11" s="8" t="s">
        <v>82</v>
      </c>
    </row>
    <row r="12" spans="1:6" x14ac:dyDescent="0.3">
      <c r="A12" s="9" t="s">
        <v>83</v>
      </c>
      <c r="B12" s="9" t="s">
        <v>84</v>
      </c>
      <c r="C12" s="9" t="s">
        <v>85</v>
      </c>
      <c r="D12" s="9" t="s">
        <v>86</v>
      </c>
      <c r="E12" s="9" t="s">
        <v>87</v>
      </c>
      <c r="F12" s="9" t="s">
        <v>88</v>
      </c>
    </row>
    <row r="13" spans="1:6" x14ac:dyDescent="0.3">
      <c r="A13" s="12" t="s">
        <v>89</v>
      </c>
      <c r="B13" s="12" t="s">
        <v>148</v>
      </c>
      <c r="C13" s="12" t="s">
        <v>17</v>
      </c>
      <c r="D13" s="12" t="s">
        <v>91</v>
      </c>
      <c r="E13" s="20" t="s">
        <v>31</v>
      </c>
      <c r="F13" s="12" t="s">
        <v>149</v>
      </c>
    </row>
    <row r="14" spans="1:6" x14ac:dyDescent="0.3">
      <c r="A14" s="12" t="s">
        <v>120</v>
      </c>
      <c r="B14" s="12" t="s">
        <v>116</v>
      </c>
      <c r="C14" s="12" t="s">
        <v>11</v>
      </c>
      <c r="D14" s="12" t="s">
        <v>91</v>
      </c>
      <c r="E14" s="19" t="s">
        <v>28</v>
      </c>
      <c r="F14" s="12" t="s">
        <v>117</v>
      </c>
    </row>
  </sheetData>
  <mergeCells count="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17</v>
      </c>
    </row>
    <row r="2" spans="1:6" x14ac:dyDescent="0.3">
      <c r="A2" s="2" t="s">
        <v>18</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150</v>
      </c>
      <c r="C5" s="27" t="s">
        <v>78</v>
      </c>
      <c r="D5" s="28" t="s">
        <v>41</v>
      </c>
      <c r="E5" s="12" t="s">
        <v>151</v>
      </c>
      <c r="F5" s="12" t="s">
        <v>152</v>
      </c>
    </row>
    <row r="6" spans="1:6" ht="16.5" customHeight="1" x14ac:dyDescent="0.3">
      <c r="A6" s="14">
        <v>3</v>
      </c>
      <c r="B6" s="15" t="s">
        <v>153</v>
      </c>
      <c r="C6" s="25" t="s">
        <v>80</v>
      </c>
      <c r="D6" s="17"/>
      <c r="E6" s="15"/>
      <c r="F6" s="15" t="s">
        <v>154</v>
      </c>
    </row>
    <row r="7" spans="1:6" ht="16.5" customHeight="1" x14ac:dyDescent="0.3">
      <c r="A7" s="11">
        <v>4</v>
      </c>
      <c r="B7" s="10" t="s">
        <v>155</v>
      </c>
      <c r="C7" s="27" t="s">
        <v>78</v>
      </c>
      <c r="D7" s="28" t="s">
        <v>41</v>
      </c>
      <c r="E7" s="12" t="s">
        <v>156</v>
      </c>
      <c r="F7" s="12" t="s">
        <v>31</v>
      </c>
    </row>
    <row r="8" spans="1:6" ht="16.5" customHeight="1" x14ac:dyDescent="0.3">
      <c r="A8" s="14">
        <v>5</v>
      </c>
      <c r="B8" s="15" t="s">
        <v>157</v>
      </c>
      <c r="C8" s="25" t="s">
        <v>80</v>
      </c>
      <c r="D8" s="17"/>
      <c r="E8" s="15"/>
      <c r="F8" s="15"/>
    </row>
    <row r="9" spans="1:6" ht="16.5" customHeight="1" x14ac:dyDescent="0.3">
      <c r="A9" s="11">
        <v>6</v>
      </c>
      <c r="B9" s="12" t="s">
        <v>158</v>
      </c>
      <c r="C9" s="27" t="s">
        <v>113</v>
      </c>
      <c r="D9" s="17"/>
      <c r="E9" s="12"/>
      <c r="F9" s="12"/>
    </row>
    <row r="10" spans="1:6" ht="16.5" customHeight="1" x14ac:dyDescent="0.3">
      <c r="A10" s="14">
        <v>7</v>
      </c>
      <c r="B10" s="15" t="s">
        <v>159</v>
      </c>
      <c r="C10" s="25" t="s">
        <v>139</v>
      </c>
      <c r="D10" s="17"/>
      <c r="E10" s="15"/>
      <c r="F10" s="15"/>
    </row>
    <row r="11" spans="1:6" ht="16.5" customHeight="1" x14ac:dyDescent="0.3">
      <c r="A11" s="11">
        <v>8</v>
      </c>
      <c r="B11" s="12" t="s">
        <v>160</v>
      </c>
      <c r="C11" s="27" t="s">
        <v>161</v>
      </c>
      <c r="D11" s="17"/>
      <c r="E11" s="12"/>
      <c r="F11" s="12"/>
    </row>
    <row r="12" spans="1:6" ht="16.5" customHeight="1" x14ac:dyDescent="0.3">
      <c r="A12" s="14">
        <v>9</v>
      </c>
      <c r="B12" s="15" t="s">
        <v>162</v>
      </c>
      <c r="C12" s="25" t="s">
        <v>104</v>
      </c>
      <c r="D12" s="17"/>
      <c r="E12" s="15"/>
      <c r="F12" s="15"/>
    </row>
    <row r="13" spans="1:6" ht="16.5" customHeight="1" x14ac:dyDescent="0.3">
      <c r="A13" s="11">
        <v>10</v>
      </c>
      <c r="B13" s="12" t="s">
        <v>163</v>
      </c>
      <c r="C13" s="27" t="s">
        <v>108</v>
      </c>
      <c r="D13" s="17"/>
      <c r="E13" s="12"/>
      <c r="F13" s="12" t="s">
        <v>164</v>
      </c>
    </row>
    <row r="15" spans="1:6" ht="15.6" x14ac:dyDescent="0.3">
      <c r="A15" s="8" t="s">
        <v>82</v>
      </c>
    </row>
    <row r="16" spans="1:6" x14ac:dyDescent="0.3">
      <c r="A16" s="9" t="s">
        <v>83</v>
      </c>
      <c r="B16" s="9" t="s">
        <v>84</v>
      </c>
      <c r="C16" s="9" t="s">
        <v>85</v>
      </c>
      <c r="D16" s="9" t="s">
        <v>86</v>
      </c>
      <c r="E16" s="9" t="s">
        <v>87</v>
      </c>
      <c r="F16" s="9" t="s">
        <v>88</v>
      </c>
    </row>
    <row r="17" spans="1:6" x14ac:dyDescent="0.3">
      <c r="A17" s="12" t="s">
        <v>89</v>
      </c>
      <c r="B17" s="12" t="s">
        <v>165</v>
      </c>
      <c r="C17" s="12" t="s">
        <v>21</v>
      </c>
      <c r="D17" s="12" t="s">
        <v>91</v>
      </c>
      <c r="E17" s="21" t="s">
        <v>33</v>
      </c>
      <c r="F17" s="12" t="s">
        <v>166</v>
      </c>
    </row>
    <row r="18" spans="1:6" x14ac:dyDescent="0.3">
      <c r="A18" s="12" t="s">
        <v>89</v>
      </c>
      <c r="B18" s="12" t="s">
        <v>167</v>
      </c>
      <c r="C18" s="12" t="s">
        <v>21</v>
      </c>
      <c r="D18" s="12" t="s">
        <v>168</v>
      </c>
      <c r="E18" s="22" t="s">
        <v>35</v>
      </c>
      <c r="F18" s="12" t="s">
        <v>169</v>
      </c>
    </row>
    <row r="19" spans="1:6" x14ac:dyDescent="0.3">
      <c r="A19" s="12" t="s">
        <v>120</v>
      </c>
      <c r="B19" s="12" t="s">
        <v>140</v>
      </c>
      <c r="C19" s="12" t="s">
        <v>13</v>
      </c>
      <c r="D19" s="12" t="s">
        <v>91</v>
      </c>
      <c r="E19" s="19" t="s">
        <v>28</v>
      </c>
      <c r="F19" s="12" t="s">
        <v>141</v>
      </c>
    </row>
    <row r="20" spans="1:6" x14ac:dyDescent="0.3">
      <c r="A20" s="12" t="s">
        <v>120</v>
      </c>
      <c r="B20" s="12" t="s">
        <v>148</v>
      </c>
      <c r="C20" s="12" t="s">
        <v>15</v>
      </c>
      <c r="D20" s="12" t="s">
        <v>91</v>
      </c>
      <c r="E20" s="20" t="s">
        <v>31</v>
      </c>
      <c r="F20" s="12" t="s">
        <v>149</v>
      </c>
    </row>
  </sheetData>
  <mergeCells count="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19</v>
      </c>
    </row>
    <row r="2" spans="1:6" x14ac:dyDescent="0.3">
      <c r="A2" s="2" t="s">
        <v>20</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121</v>
      </c>
      <c r="C5" s="27" t="s">
        <v>78</v>
      </c>
      <c r="D5" s="28" t="s">
        <v>41</v>
      </c>
      <c r="E5" s="12" t="s">
        <v>122</v>
      </c>
      <c r="F5" s="12" t="s">
        <v>170</v>
      </c>
    </row>
    <row r="6" spans="1:6" ht="16.5" customHeight="1" x14ac:dyDescent="0.3">
      <c r="A6" s="14">
        <v>3</v>
      </c>
      <c r="B6" s="15" t="s">
        <v>171</v>
      </c>
      <c r="C6" s="25" t="s">
        <v>113</v>
      </c>
      <c r="D6" s="17"/>
      <c r="E6" s="15"/>
      <c r="F6" s="15" t="s">
        <v>170</v>
      </c>
    </row>
    <row r="7" spans="1:6" ht="16.5" customHeight="1" x14ac:dyDescent="0.3">
      <c r="A7" s="11">
        <v>4</v>
      </c>
      <c r="B7" s="12" t="s">
        <v>172</v>
      </c>
      <c r="C7" s="27" t="s">
        <v>113</v>
      </c>
      <c r="D7" s="17"/>
      <c r="E7" s="12"/>
      <c r="F7" s="12" t="s">
        <v>170</v>
      </c>
    </row>
    <row r="8" spans="1:6" ht="16.5" customHeight="1" x14ac:dyDescent="0.3">
      <c r="A8" s="14">
        <v>5</v>
      </c>
      <c r="B8" s="15" t="s">
        <v>173</v>
      </c>
      <c r="C8" s="25" t="s">
        <v>80</v>
      </c>
      <c r="D8" s="17"/>
      <c r="E8" s="15"/>
      <c r="F8" s="15" t="s">
        <v>174</v>
      </c>
    </row>
    <row r="9" spans="1:6" ht="16.5" customHeight="1" x14ac:dyDescent="0.3">
      <c r="A9" s="11">
        <v>6</v>
      </c>
      <c r="B9" s="12" t="s">
        <v>129</v>
      </c>
      <c r="C9" s="27" t="s">
        <v>80</v>
      </c>
      <c r="D9" s="17"/>
      <c r="E9" s="12"/>
      <c r="F9" s="12" t="s">
        <v>175</v>
      </c>
    </row>
    <row r="10" spans="1:6" ht="16.5" customHeight="1" x14ac:dyDescent="0.3">
      <c r="A10" s="14">
        <v>7</v>
      </c>
      <c r="B10" s="15" t="s">
        <v>176</v>
      </c>
      <c r="C10" s="25" t="s">
        <v>80</v>
      </c>
      <c r="D10" s="17"/>
      <c r="E10" s="15"/>
      <c r="F10" s="15"/>
    </row>
    <row r="11" spans="1:6" ht="16.5" customHeight="1" x14ac:dyDescent="0.3">
      <c r="A11" s="11">
        <v>8</v>
      </c>
      <c r="B11" s="12" t="s">
        <v>177</v>
      </c>
      <c r="C11" s="27" t="s">
        <v>78</v>
      </c>
      <c r="D11" s="17"/>
      <c r="E11" s="12"/>
      <c r="F11" s="12"/>
    </row>
    <row r="12" spans="1:6" ht="16.5" customHeight="1" x14ac:dyDescent="0.3">
      <c r="A12" s="14">
        <v>9</v>
      </c>
      <c r="B12" s="15" t="s">
        <v>178</v>
      </c>
      <c r="C12" s="25" t="s">
        <v>78</v>
      </c>
      <c r="D12" s="17"/>
      <c r="E12" s="15"/>
      <c r="F12" s="15"/>
    </row>
    <row r="13" spans="1:6" ht="16.5" customHeight="1" x14ac:dyDescent="0.3">
      <c r="A13" s="11">
        <v>10</v>
      </c>
      <c r="B13" s="12" t="s">
        <v>179</v>
      </c>
      <c r="C13" s="27" t="s">
        <v>78</v>
      </c>
      <c r="D13" s="17"/>
      <c r="E13" s="12"/>
      <c r="F13" s="12"/>
    </row>
    <row r="14" spans="1:6" ht="16.5" customHeight="1" x14ac:dyDescent="0.3">
      <c r="A14" s="14">
        <v>11</v>
      </c>
      <c r="B14" s="15" t="s">
        <v>180</v>
      </c>
      <c r="C14" s="25" t="s">
        <v>108</v>
      </c>
      <c r="D14" s="17"/>
      <c r="E14" s="15"/>
      <c r="F14" s="15" t="s">
        <v>181</v>
      </c>
    </row>
    <row r="15" spans="1:6" ht="16.5" customHeight="1" x14ac:dyDescent="0.3">
      <c r="A15" s="11">
        <v>12</v>
      </c>
      <c r="B15" s="12" t="s">
        <v>182</v>
      </c>
      <c r="C15" s="27" t="s">
        <v>80</v>
      </c>
      <c r="D15" s="17"/>
      <c r="E15" s="12"/>
      <c r="F15" s="12"/>
    </row>
    <row r="16" spans="1:6" ht="16.5" customHeight="1" x14ac:dyDescent="0.3">
      <c r="A16" s="14">
        <v>13</v>
      </c>
      <c r="B16" s="15" t="s">
        <v>183</v>
      </c>
      <c r="C16" s="25" t="s">
        <v>113</v>
      </c>
      <c r="D16" s="17"/>
      <c r="E16" s="15"/>
      <c r="F16" s="15"/>
    </row>
    <row r="18" spans="1:6" ht="15.6" x14ac:dyDescent="0.3">
      <c r="A18" s="8" t="s">
        <v>82</v>
      </c>
    </row>
    <row r="19" spans="1:6" x14ac:dyDescent="0.3">
      <c r="A19" s="9" t="s">
        <v>83</v>
      </c>
      <c r="B19" s="9" t="s">
        <v>84</v>
      </c>
      <c r="C19" s="9" t="s">
        <v>85</v>
      </c>
      <c r="D19" s="9" t="s">
        <v>86</v>
      </c>
      <c r="E19" s="9" t="s">
        <v>87</v>
      </c>
      <c r="F19" s="9" t="s">
        <v>88</v>
      </c>
    </row>
    <row r="20" spans="1:6" x14ac:dyDescent="0.3">
      <c r="A20" s="12" t="s">
        <v>89</v>
      </c>
      <c r="B20" s="12" t="s">
        <v>184</v>
      </c>
      <c r="C20" s="12" t="s">
        <v>21</v>
      </c>
      <c r="D20" s="12" t="s">
        <v>91</v>
      </c>
      <c r="E20" s="19" t="s">
        <v>28</v>
      </c>
      <c r="F20" s="12" t="s">
        <v>185</v>
      </c>
    </row>
    <row r="21" spans="1:6" x14ac:dyDescent="0.3">
      <c r="A21" s="12" t="s">
        <v>120</v>
      </c>
      <c r="B21" s="12" t="s">
        <v>118</v>
      </c>
      <c r="C21" s="12" t="s">
        <v>11</v>
      </c>
      <c r="D21" s="12" t="s">
        <v>91</v>
      </c>
      <c r="E21" s="19" t="s">
        <v>28</v>
      </c>
      <c r="F21" s="12" t="s">
        <v>119</v>
      </c>
    </row>
  </sheetData>
  <mergeCells count="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6"/>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24" customWidth="1"/>
    <col min="3" max="3" width="12" customWidth="1"/>
    <col min="4" max="4" width="8" customWidth="1"/>
    <col min="5" max="5" width="22" customWidth="1"/>
    <col min="6" max="6" width="52" customWidth="1"/>
  </cols>
  <sheetData>
    <row r="1" spans="1:6" ht="21" x14ac:dyDescent="0.4">
      <c r="A1" s="6" t="s">
        <v>21</v>
      </c>
    </row>
    <row r="2" spans="1:6" x14ac:dyDescent="0.3">
      <c r="A2" s="2" t="s">
        <v>22</v>
      </c>
      <c r="B2" s="2"/>
      <c r="C2" s="2"/>
      <c r="D2" s="2"/>
      <c r="E2" s="2"/>
      <c r="F2" s="2"/>
    </row>
    <row r="3" spans="1:6" x14ac:dyDescent="0.3">
      <c r="A3" s="9" t="s">
        <v>72</v>
      </c>
      <c r="B3" s="9" t="s">
        <v>73</v>
      </c>
      <c r="C3" s="9" t="s">
        <v>74</v>
      </c>
      <c r="D3" s="9" t="s">
        <v>39</v>
      </c>
      <c r="E3" s="9" t="s">
        <v>75</v>
      </c>
      <c r="F3" s="9" t="s">
        <v>76</v>
      </c>
    </row>
    <row r="4" spans="1:6" ht="16.5" customHeight="1" x14ac:dyDescent="0.3">
      <c r="A4" s="14">
        <v>1</v>
      </c>
      <c r="B4" s="13" t="s">
        <v>77</v>
      </c>
      <c r="C4" s="25" t="s">
        <v>78</v>
      </c>
      <c r="D4" s="26" t="s">
        <v>38</v>
      </c>
      <c r="E4" s="15"/>
      <c r="F4" s="15"/>
    </row>
    <row r="5" spans="1:6" ht="16.5" customHeight="1" x14ac:dyDescent="0.3">
      <c r="A5" s="11">
        <v>2</v>
      </c>
      <c r="B5" s="10" t="s">
        <v>186</v>
      </c>
      <c r="C5" s="27" t="s">
        <v>78</v>
      </c>
      <c r="D5" s="28" t="s">
        <v>41</v>
      </c>
      <c r="E5" s="12" t="s">
        <v>187</v>
      </c>
      <c r="F5" s="12" t="s">
        <v>188</v>
      </c>
    </row>
    <row r="6" spans="1:6" ht="16.5" customHeight="1" x14ac:dyDescent="0.3">
      <c r="A6" s="14">
        <v>3</v>
      </c>
      <c r="B6" s="15" t="s">
        <v>189</v>
      </c>
      <c r="C6" s="25" t="s">
        <v>80</v>
      </c>
      <c r="D6" s="17"/>
      <c r="E6" s="15"/>
      <c r="F6" s="15" t="s">
        <v>190</v>
      </c>
    </row>
    <row r="7" spans="1:6" ht="16.5" customHeight="1" x14ac:dyDescent="0.3">
      <c r="A7" s="11">
        <v>4</v>
      </c>
      <c r="B7" s="12" t="s">
        <v>191</v>
      </c>
      <c r="C7" s="27" t="s">
        <v>80</v>
      </c>
      <c r="D7" s="17"/>
      <c r="E7" s="12"/>
      <c r="F7" s="12" t="s">
        <v>192</v>
      </c>
    </row>
    <row r="8" spans="1:6" ht="16.5" customHeight="1" x14ac:dyDescent="0.3">
      <c r="A8" s="14">
        <v>5</v>
      </c>
      <c r="B8" s="15" t="s">
        <v>193</v>
      </c>
      <c r="C8" s="25" t="s">
        <v>78</v>
      </c>
      <c r="D8" s="17"/>
      <c r="E8" s="15"/>
      <c r="F8" s="15" t="s">
        <v>194</v>
      </c>
    </row>
    <row r="9" spans="1:6" ht="16.5" customHeight="1" x14ac:dyDescent="0.3">
      <c r="A9" s="11">
        <v>6</v>
      </c>
      <c r="B9" s="10" t="s">
        <v>195</v>
      </c>
      <c r="C9" s="27" t="s">
        <v>78</v>
      </c>
      <c r="D9" s="28" t="s">
        <v>41</v>
      </c>
      <c r="E9" s="12" t="s">
        <v>196</v>
      </c>
      <c r="F9" s="12" t="s">
        <v>197</v>
      </c>
    </row>
    <row r="10" spans="1:6" ht="16.5" customHeight="1" x14ac:dyDescent="0.3">
      <c r="A10" s="14">
        <v>7</v>
      </c>
      <c r="B10" s="15" t="s">
        <v>198</v>
      </c>
      <c r="C10" s="25" t="s">
        <v>139</v>
      </c>
      <c r="D10" s="17"/>
      <c r="E10" s="15"/>
      <c r="F10" s="15"/>
    </row>
    <row r="11" spans="1:6" ht="16.5" customHeight="1" x14ac:dyDescent="0.3">
      <c r="A11" s="11">
        <v>8</v>
      </c>
      <c r="B11" s="12" t="s">
        <v>199</v>
      </c>
      <c r="C11" s="27" t="s">
        <v>139</v>
      </c>
      <c r="D11" s="17"/>
      <c r="E11" s="12"/>
      <c r="F11" s="12"/>
    </row>
    <row r="12" spans="1:6" ht="16.5" customHeight="1" x14ac:dyDescent="0.3">
      <c r="A12" s="14">
        <v>9</v>
      </c>
      <c r="B12" s="15" t="s">
        <v>200</v>
      </c>
      <c r="C12" s="25" t="s">
        <v>113</v>
      </c>
      <c r="D12" s="17"/>
      <c r="E12" s="15"/>
      <c r="F12" s="15"/>
    </row>
    <row r="13" spans="1:6" ht="16.5" customHeight="1" x14ac:dyDescent="0.3">
      <c r="A13" s="11">
        <v>10</v>
      </c>
      <c r="B13" s="12" t="s">
        <v>201</v>
      </c>
      <c r="C13" s="27" t="s">
        <v>80</v>
      </c>
      <c r="D13" s="17"/>
      <c r="E13" s="12"/>
      <c r="F13" s="12" t="s">
        <v>202</v>
      </c>
    </row>
    <row r="14" spans="1:6" ht="16.5" customHeight="1" x14ac:dyDescent="0.3">
      <c r="A14" s="14">
        <v>11</v>
      </c>
      <c r="B14" s="15" t="s">
        <v>203</v>
      </c>
      <c r="C14" s="25" t="s">
        <v>113</v>
      </c>
      <c r="D14" s="17"/>
      <c r="E14" s="15"/>
      <c r="F14" s="15"/>
    </row>
    <row r="15" spans="1:6" ht="16.5" customHeight="1" x14ac:dyDescent="0.3">
      <c r="A15" s="11">
        <v>12</v>
      </c>
      <c r="B15" s="12" t="s">
        <v>204</v>
      </c>
      <c r="C15" s="27" t="s">
        <v>113</v>
      </c>
      <c r="D15" s="17"/>
      <c r="E15" s="12"/>
      <c r="F15" s="12"/>
    </row>
    <row r="16" spans="1:6" ht="16.5" customHeight="1" x14ac:dyDescent="0.3">
      <c r="A16" s="14">
        <v>13</v>
      </c>
      <c r="B16" s="15" t="s">
        <v>205</v>
      </c>
      <c r="C16" s="25" t="s">
        <v>108</v>
      </c>
      <c r="D16" s="17"/>
      <c r="E16" s="15"/>
      <c r="F16" s="15" t="s">
        <v>206</v>
      </c>
    </row>
    <row r="17" spans="1:6" ht="16.5" customHeight="1" x14ac:dyDescent="0.3">
      <c r="A17" s="11">
        <v>14</v>
      </c>
      <c r="B17" s="12" t="s">
        <v>207</v>
      </c>
      <c r="C17" s="27" t="s">
        <v>139</v>
      </c>
      <c r="D17" s="17"/>
      <c r="E17" s="12"/>
      <c r="F17" s="12"/>
    </row>
    <row r="18" spans="1:6" ht="16.5" customHeight="1" x14ac:dyDescent="0.3">
      <c r="A18" s="14">
        <v>15</v>
      </c>
      <c r="B18" s="15" t="s">
        <v>208</v>
      </c>
      <c r="C18" s="25" t="s">
        <v>113</v>
      </c>
      <c r="D18" s="17"/>
      <c r="E18" s="15"/>
      <c r="F18" s="15"/>
    </row>
    <row r="19" spans="1:6" ht="16.5" customHeight="1" x14ac:dyDescent="0.3">
      <c r="A19" s="11">
        <v>16</v>
      </c>
      <c r="B19" s="12" t="s">
        <v>209</v>
      </c>
      <c r="C19" s="27" t="s">
        <v>78</v>
      </c>
      <c r="D19" s="17"/>
      <c r="E19" s="12"/>
      <c r="F19" s="12"/>
    </row>
    <row r="20" spans="1:6" ht="16.5" customHeight="1" x14ac:dyDescent="0.3">
      <c r="A20" s="14">
        <v>17</v>
      </c>
      <c r="B20" s="15" t="s">
        <v>210</v>
      </c>
      <c r="C20" s="25" t="s">
        <v>78</v>
      </c>
      <c r="D20" s="17"/>
      <c r="E20" s="15"/>
      <c r="F20" s="15" t="s">
        <v>211</v>
      </c>
    </row>
    <row r="22" spans="1:6" ht="15.6" x14ac:dyDescent="0.3">
      <c r="A22" s="8" t="s">
        <v>82</v>
      </c>
    </row>
    <row r="23" spans="1:6" x14ac:dyDescent="0.3">
      <c r="A23" s="9" t="s">
        <v>83</v>
      </c>
      <c r="B23" s="9" t="s">
        <v>84</v>
      </c>
      <c r="C23" s="9" t="s">
        <v>85</v>
      </c>
      <c r="D23" s="9" t="s">
        <v>86</v>
      </c>
      <c r="E23" s="9" t="s">
        <v>87</v>
      </c>
      <c r="F23" s="9" t="s">
        <v>88</v>
      </c>
    </row>
    <row r="24" spans="1:6" x14ac:dyDescent="0.3">
      <c r="A24" s="12" t="s">
        <v>120</v>
      </c>
      <c r="B24" s="12" t="s">
        <v>184</v>
      </c>
      <c r="C24" s="12" t="s">
        <v>19</v>
      </c>
      <c r="D24" s="12" t="s">
        <v>91</v>
      </c>
      <c r="E24" s="19" t="s">
        <v>28</v>
      </c>
      <c r="F24" s="12" t="s">
        <v>185</v>
      </c>
    </row>
    <row r="25" spans="1:6" x14ac:dyDescent="0.3">
      <c r="A25" s="12" t="s">
        <v>120</v>
      </c>
      <c r="B25" s="12" t="s">
        <v>165</v>
      </c>
      <c r="C25" s="12" t="s">
        <v>17</v>
      </c>
      <c r="D25" s="12" t="s">
        <v>91</v>
      </c>
      <c r="E25" s="21" t="s">
        <v>33</v>
      </c>
      <c r="F25" s="12" t="s">
        <v>166</v>
      </c>
    </row>
    <row r="26" spans="1:6" x14ac:dyDescent="0.3">
      <c r="A26" s="12" t="s">
        <v>120</v>
      </c>
      <c r="B26" s="12" t="s">
        <v>167</v>
      </c>
      <c r="C26" s="12" t="s">
        <v>17</v>
      </c>
      <c r="D26" s="12" t="s">
        <v>168</v>
      </c>
      <c r="E26" s="22" t="s">
        <v>35</v>
      </c>
      <c r="F26" s="12" t="s">
        <v>169</v>
      </c>
    </row>
  </sheetData>
  <mergeCells count="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showGridLines="0" zoomScaleNormal="100" workbookViewId="0">
      <pane ySplit="3" topLeftCell="A4" activePane="bottomLeft" state="frozen"/>
      <selection pane="bottomLeft"/>
    </sheetView>
  </sheetViews>
  <sheetFormatPr defaultColWidth="8.6640625" defaultRowHeight="14.4" x14ac:dyDescent="0.3"/>
  <cols>
    <col min="1" max="8" width="14" customWidth="1"/>
  </cols>
  <sheetData>
    <row r="1" spans="1:8" ht="21" x14ac:dyDescent="0.4">
      <c r="A1" s="6" t="s">
        <v>82</v>
      </c>
    </row>
    <row r="2" spans="1:8" x14ac:dyDescent="0.3">
      <c r="A2" s="2" t="s">
        <v>212</v>
      </c>
      <c r="B2" s="2"/>
      <c r="C2" s="2"/>
      <c r="D2" s="2"/>
      <c r="E2" s="2"/>
      <c r="F2" s="2"/>
      <c r="G2" s="2"/>
    </row>
    <row r="3" spans="1:8" x14ac:dyDescent="0.3">
      <c r="A3" s="9" t="s">
        <v>213</v>
      </c>
      <c r="B3" s="9" t="s">
        <v>84</v>
      </c>
      <c r="C3" s="9" t="s">
        <v>214</v>
      </c>
      <c r="D3" s="9" t="s">
        <v>86</v>
      </c>
      <c r="E3" s="9" t="s">
        <v>87</v>
      </c>
      <c r="F3" s="9" t="s">
        <v>215</v>
      </c>
      <c r="G3" s="9" t="s">
        <v>216</v>
      </c>
    </row>
    <row r="4" spans="1:8" ht="18" customHeight="1" x14ac:dyDescent="0.3">
      <c r="A4" s="10" t="s">
        <v>9</v>
      </c>
      <c r="B4" s="29" t="s">
        <v>90</v>
      </c>
      <c r="C4" s="10" t="s">
        <v>11</v>
      </c>
      <c r="D4" s="11" t="s">
        <v>91</v>
      </c>
      <c r="E4" s="19" t="s">
        <v>28</v>
      </c>
      <c r="F4" s="12" t="s">
        <v>92</v>
      </c>
      <c r="G4" s="12" t="s">
        <v>217</v>
      </c>
    </row>
    <row r="5" spans="1:8" ht="18" customHeight="1" x14ac:dyDescent="0.3">
      <c r="A5" s="10" t="s">
        <v>11</v>
      </c>
      <c r="B5" s="29" t="s">
        <v>114</v>
      </c>
      <c r="C5" s="10" t="s">
        <v>13</v>
      </c>
      <c r="D5" s="11" t="s">
        <v>91</v>
      </c>
      <c r="E5" s="19" t="s">
        <v>28</v>
      </c>
      <c r="F5" s="12" t="s">
        <v>115</v>
      </c>
      <c r="G5" s="12" t="s">
        <v>218</v>
      </c>
    </row>
    <row r="6" spans="1:8" ht="18" customHeight="1" x14ac:dyDescent="0.3">
      <c r="A6" s="10" t="s">
        <v>11</v>
      </c>
      <c r="B6" s="29" t="s">
        <v>116</v>
      </c>
      <c r="C6" s="10" t="s">
        <v>15</v>
      </c>
      <c r="D6" s="11" t="s">
        <v>91</v>
      </c>
      <c r="E6" s="19" t="s">
        <v>28</v>
      </c>
      <c r="F6" s="12" t="s">
        <v>117</v>
      </c>
      <c r="G6" s="12" t="s">
        <v>219</v>
      </c>
    </row>
    <row r="7" spans="1:8" ht="18" customHeight="1" x14ac:dyDescent="0.3">
      <c r="A7" s="10" t="s">
        <v>11</v>
      </c>
      <c r="B7" s="29" t="s">
        <v>118</v>
      </c>
      <c r="C7" s="10" t="s">
        <v>19</v>
      </c>
      <c r="D7" s="11" t="s">
        <v>91</v>
      </c>
      <c r="E7" s="19" t="s">
        <v>28</v>
      </c>
      <c r="F7" s="12" t="s">
        <v>119</v>
      </c>
      <c r="G7" s="12" t="s">
        <v>220</v>
      </c>
    </row>
    <row r="8" spans="1:8" ht="18" customHeight="1" x14ac:dyDescent="0.3">
      <c r="A8" s="10" t="s">
        <v>13</v>
      </c>
      <c r="B8" s="29" t="s">
        <v>140</v>
      </c>
      <c r="C8" s="10" t="s">
        <v>17</v>
      </c>
      <c r="D8" s="11" t="s">
        <v>91</v>
      </c>
      <c r="E8" s="19" t="s">
        <v>28</v>
      </c>
      <c r="F8" s="12" t="s">
        <v>141</v>
      </c>
      <c r="G8" s="12" t="s">
        <v>221</v>
      </c>
    </row>
    <row r="9" spans="1:8" ht="18" customHeight="1" x14ac:dyDescent="0.3">
      <c r="A9" s="10" t="s">
        <v>15</v>
      </c>
      <c r="B9" s="29" t="s">
        <v>148</v>
      </c>
      <c r="C9" s="10" t="s">
        <v>17</v>
      </c>
      <c r="D9" s="11" t="s">
        <v>91</v>
      </c>
      <c r="E9" s="20" t="s">
        <v>31</v>
      </c>
      <c r="F9" s="12" t="s">
        <v>149</v>
      </c>
      <c r="G9" s="12" t="s">
        <v>222</v>
      </c>
    </row>
    <row r="10" spans="1:8" ht="18" customHeight="1" x14ac:dyDescent="0.3">
      <c r="A10" s="10" t="s">
        <v>19</v>
      </c>
      <c r="B10" s="29" t="s">
        <v>184</v>
      </c>
      <c r="C10" s="10" t="s">
        <v>21</v>
      </c>
      <c r="D10" s="11" t="s">
        <v>91</v>
      </c>
      <c r="E10" s="19" t="s">
        <v>28</v>
      </c>
      <c r="F10" s="12" t="s">
        <v>185</v>
      </c>
      <c r="G10" s="12" t="s">
        <v>223</v>
      </c>
    </row>
    <row r="11" spans="1:8" ht="18" customHeight="1" x14ac:dyDescent="0.3">
      <c r="A11" s="10" t="s">
        <v>17</v>
      </c>
      <c r="B11" s="29" t="s">
        <v>165</v>
      </c>
      <c r="C11" s="10" t="s">
        <v>21</v>
      </c>
      <c r="D11" s="11" t="s">
        <v>91</v>
      </c>
      <c r="E11" s="21" t="s">
        <v>33</v>
      </c>
      <c r="F11" s="12" t="s">
        <v>166</v>
      </c>
      <c r="G11" s="12" t="s">
        <v>224</v>
      </c>
    </row>
    <row r="12" spans="1:8" ht="18" customHeight="1" x14ac:dyDescent="0.3">
      <c r="A12" s="10" t="s">
        <v>17</v>
      </c>
      <c r="B12" s="29" t="s">
        <v>167</v>
      </c>
      <c r="C12" s="10" t="s">
        <v>21</v>
      </c>
      <c r="D12" s="11" t="s">
        <v>168</v>
      </c>
      <c r="E12" s="22" t="s">
        <v>35</v>
      </c>
      <c r="F12" s="12" t="s">
        <v>169</v>
      </c>
      <c r="G12" s="12" t="s">
        <v>225</v>
      </c>
    </row>
    <row r="15" spans="1:8" ht="15.6" x14ac:dyDescent="0.3">
      <c r="A15" s="8" t="s">
        <v>226</v>
      </c>
    </row>
    <row r="16" spans="1:8" x14ac:dyDescent="0.3">
      <c r="A16" s="30"/>
      <c r="B16" s="9" t="s">
        <v>9</v>
      </c>
      <c r="C16" s="9" t="s">
        <v>11</v>
      </c>
      <c r="D16" s="9" t="s">
        <v>13</v>
      </c>
      <c r="E16" s="9" t="s">
        <v>15</v>
      </c>
      <c r="F16" s="9" t="s">
        <v>17</v>
      </c>
      <c r="G16" s="9" t="s">
        <v>19</v>
      </c>
      <c r="H16" s="9" t="s">
        <v>21</v>
      </c>
    </row>
    <row r="17" spans="1:8" ht="27.75" customHeight="1" x14ac:dyDescent="0.3">
      <c r="A17" s="31" t="s">
        <v>9</v>
      </c>
      <c r="B17" s="32" t="s">
        <v>227</v>
      </c>
      <c r="C17" s="33" t="s">
        <v>228</v>
      </c>
      <c r="D17" s="32" t="s">
        <v>227</v>
      </c>
      <c r="E17" s="32" t="s">
        <v>227</v>
      </c>
      <c r="F17" s="32" t="s">
        <v>227</v>
      </c>
      <c r="G17" s="32" t="s">
        <v>227</v>
      </c>
      <c r="H17" s="32" t="s">
        <v>227</v>
      </c>
    </row>
    <row r="18" spans="1:8" ht="27.75" customHeight="1" x14ac:dyDescent="0.3">
      <c r="A18" s="31" t="s">
        <v>11</v>
      </c>
      <c r="B18" s="32" t="s">
        <v>227</v>
      </c>
      <c r="C18" s="32" t="s">
        <v>227</v>
      </c>
      <c r="D18" s="33" t="s">
        <v>229</v>
      </c>
      <c r="E18" s="33" t="s">
        <v>230</v>
      </c>
      <c r="F18" s="32" t="s">
        <v>227</v>
      </c>
      <c r="G18" s="33" t="s">
        <v>231</v>
      </c>
      <c r="H18" s="32" t="s">
        <v>227</v>
      </c>
    </row>
    <row r="19" spans="1:8" ht="27.75" customHeight="1" x14ac:dyDescent="0.3">
      <c r="A19" s="31" t="s">
        <v>13</v>
      </c>
      <c r="B19" s="32" t="s">
        <v>227</v>
      </c>
      <c r="C19" s="32" t="s">
        <v>227</v>
      </c>
      <c r="D19" s="32" t="s">
        <v>227</v>
      </c>
      <c r="E19" s="32" t="s">
        <v>227</v>
      </c>
      <c r="F19" s="33" t="s">
        <v>232</v>
      </c>
      <c r="G19" s="32" t="s">
        <v>227</v>
      </c>
      <c r="H19" s="32" t="s">
        <v>227</v>
      </c>
    </row>
    <row r="20" spans="1:8" ht="27.75" customHeight="1" x14ac:dyDescent="0.3">
      <c r="A20" s="31" t="s">
        <v>15</v>
      </c>
      <c r="B20" s="32" t="s">
        <v>227</v>
      </c>
      <c r="C20" s="32" t="s">
        <v>227</v>
      </c>
      <c r="D20" s="32" t="s">
        <v>227</v>
      </c>
      <c r="E20" s="32" t="s">
        <v>227</v>
      </c>
      <c r="F20" s="34" t="s">
        <v>233</v>
      </c>
      <c r="G20" s="32" t="s">
        <v>227</v>
      </c>
      <c r="H20" s="32" t="s">
        <v>227</v>
      </c>
    </row>
    <row r="21" spans="1:8" ht="51.75" customHeight="1" x14ac:dyDescent="0.3">
      <c r="A21" s="31" t="s">
        <v>17</v>
      </c>
      <c r="B21" s="32" t="s">
        <v>227</v>
      </c>
      <c r="C21" s="32" t="s">
        <v>227</v>
      </c>
      <c r="D21" s="32" t="s">
        <v>227</v>
      </c>
      <c r="E21" s="32" t="s">
        <v>227</v>
      </c>
      <c r="F21" s="32" t="s">
        <v>227</v>
      </c>
      <c r="G21" s="32" t="s">
        <v>227</v>
      </c>
      <c r="H21" s="35" t="s">
        <v>234</v>
      </c>
    </row>
    <row r="22" spans="1:8" ht="27.75" customHeight="1" x14ac:dyDescent="0.3">
      <c r="A22" s="31" t="s">
        <v>19</v>
      </c>
      <c r="B22" s="32" t="s">
        <v>227</v>
      </c>
      <c r="C22" s="32" t="s">
        <v>227</v>
      </c>
      <c r="D22" s="32" t="s">
        <v>227</v>
      </c>
      <c r="E22" s="32" t="s">
        <v>227</v>
      </c>
      <c r="F22" s="32" t="s">
        <v>227</v>
      </c>
      <c r="G22" s="32" t="s">
        <v>227</v>
      </c>
      <c r="H22" s="33" t="s">
        <v>235</v>
      </c>
    </row>
    <row r="23" spans="1:8" ht="27.75" customHeight="1" x14ac:dyDescent="0.3">
      <c r="A23" s="31" t="s">
        <v>21</v>
      </c>
      <c r="B23" s="32" t="s">
        <v>227</v>
      </c>
      <c r="C23" s="32" t="s">
        <v>227</v>
      </c>
      <c r="D23" s="32" t="s">
        <v>227</v>
      </c>
      <c r="E23" s="32" t="s">
        <v>227</v>
      </c>
      <c r="F23" s="32" t="s">
        <v>227</v>
      </c>
      <c r="G23" s="32" t="s">
        <v>227</v>
      </c>
      <c r="H23" s="32" t="s">
        <v>227</v>
      </c>
    </row>
    <row r="25" spans="1:8" x14ac:dyDescent="0.3">
      <c r="A25" s="1" t="s">
        <v>236</v>
      </c>
      <c r="B25" s="1"/>
      <c r="C25" s="1"/>
      <c r="D25" s="1"/>
      <c r="E25" s="1"/>
      <c r="F25" s="1"/>
      <c r="G25" s="1"/>
    </row>
  </sheetData>
  <mergeCells count="2">
    <mergeCell ref="A2:G2"/>
    <mergeCell ref="A25:G2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abSelected="1" zoomScaleNormal="100" workbookViewId="0">
      <pane ySplit="1" topLeftCell="A64" activePane="bottomLeft" state="frozen"/>
      <selection pane="bottomLeft"/>
    </sheetView>
  </sheetViews>
  <sheetFormatPr defaultColWidth="8.6640625" defaultRowHeight="14.4" x14ac:dyDescent="0.3"/>
  <cols>
    <col min="1" max="1" width="16" customWidth="1"/>
    <col min="2" max="2" width="6" customWidth="1"/>
    <col min="3" max="3" width="24" customWidth="1"/>
    <col min="4" max="4" width="12" customWidth="1"/>
    <col min="5" max="5" width="8" customWidth="1"/>
    <col min="6" max="6" width="22" customWidth="1"/>
    <col min="7" max="7" width="52" customWidth="1"/>
  </cols>
  <sheetData>
    <row r="1" spans="1:7" x14ac:dyDescent="0.3">
      <c r="A1" s="9" t="s">
        <v>5</v>
      </c>
      <c r="B1" s="9" t="s">
        <v>72</v>
      </c>
      <c r="C1" s="9" t="s">
        <v>73</v>
      </c>
      <c r="D1" s="9" t="s">
        <v>74</v>
      </c>
      <c r="E1" s="9" t="s">
        <v>39</v>
      </c>
      <c r="F1" s="9" t="s">
        <v>75</v>
      </c>
      <c r="G1" s="9" t="s">
        <v>76</v>
      </c>
    </row>
    <row r="2" spans="1:7" x14ac:dyDescent="0.3">
      <c r="A2" s="36" t="s">
        <v>9</v>
      </c>
      <c r="B2" s="37">
        <v>1</v>
      </c>
      <c r="C2" s="36" t="s">
        <v>77</v>
      </c>
      <c r="D2" s="36" t="s">
        <v>78</v>
      </c>
      <c r="E2" s="38" t="s">
        <v>38</v>
      </c>
      <c r="F2" s="36"/>
      <c r="G2" s="36"/>
    </row>
    <row r="3" spans="1:7" x14ac:dyDescent="0.3">
      <c r="A3" s="36" t="s">
        <v>9</v>
      </c>
      <c r="B3" s="37">
        <v>2</v>
      </c>
      <c r="C3" s="36" t="s">
        <v>79</v>
      </c>
      <c r="D3" s="36" t="s">
        <v>80</v>
      </c>
      <c r="E3" s="39" t="s">
        <v>43</v>
      </c>
      <c r="F3" s="36"/>
      <c r="G3" s="36" t="s">
        <v>81</v>
      </c>
    </row>
    <row r="4" spans="1:7" x14ac:dyDescent="0.3">
      <c r="A4" s="36" t="s">
        <v>11</v>
      </c>
      <c r="B4" s="37">
        <v>1</v>
      </c>
      <c r="C4" s="36" t="s">
        <v>77</v>
      </c>
      <c r="D4" s="36" t="s">
        <v>78</v>
      </c>
      <c r="E4" s="38" t="s">
        <v>38</v>
      </c>
      <c r="F4" s="36"/>
      <c r="G4" s="36"/>
    </row>
    <row r="5" spans="1:7" x14ac:dyDescent="0.3">
      <c r="A5" s="36" t="s">
        <v>11</v>
      </c>
      <c r="B5" s="37">
        <v>2</v>
      </c>
      <c r="C5" s="36" t="s">
        <v>93</v>
      </c>
      <c r="D5" s="36" t="s">
        <v>78</v>
      </c>
      <c r="E5" s="39" t="s">
        <v>41</v>
      </c>
      <c r="F5" s="36" t="s">
        <v>94</v>
      </c>
      <c r="G5" s="36" t="s">
        <v>95</v>
      </c>
    </row>
    <row r="6" spans="1:7" x14ac:dyDescent="0.3">
      <c r="A6" s="36" t="s">
        <v>11</v>
      </c>
      <c r="B6" s="37">
        <v>3</v>
      </c>
      <c r="C6" s="36" t="s">
        <v>96</v>
      </c>
      <c r="D6" s="36" t="s">
        <v>80</v>
      </c>
      <c r="E6" s="37"/>
      <c r="F6" s="36"/>
      <c r="G6" s="36" t="s">
        <v>97</v>
      </c>
    </row>
    <row r="7" spans="1:7" x14ac:dyDescent="0.3">
      <c r="A7" s="36" t="s">
        <v>11</v>
      </c>
      <c r="B7" s="37">
        <v>4</v>
      </c>
      <c r="C7" s="36" t="s">
        <v>98</v>
      </c>
      <c r="D7" s="36" t="s">
        <v>78</v>
      </c>
      <c r="E7" s="37"/>
      <c r="F7" s="36"/>
      <c r="G7" s="36" t="s">
        <v>99</v>
      </c>
    </row>
    <row r="8" spans="1:7" x14ac:dyDescent="0.3">
      <c r="A8" s="36" t="s">
        <v>11</v>
      </c>
      <c r="B8" s="37">
        <v>5</v>
      </c>
      <c r="C8" s="36" t="s">
        <v>100</v>
      </c>
      <c r="D8" s="36" t="s">
        <v>101</v>
      </c>
      <c r="E8" s="37"/>
      <c r="F8" s="36"/>
      <c r="G8" s="36"/>
    </row>
    <row r="9" spans="1:7" x14ac:dyDescent="0.3">
      <c r="A9" s="36" t="s">
        <v>11</v>
      </c>
      <c r="B9" s="37">
        <v>6</v>
      </c>
      <c r="C9" s="36" t="s">
        <v>102</v>
      </c>
      <c r="D9" s="36" t="s">
        <v>101</v>
      </c>
      <c r="E9" s="37"/>
      <c r="F9" s="36"/>
      <c r="G9" s="36"/>
    </row>
    <row r="10" spans="1:7" x14ac:dyDescent="0.3">
      <c r="A10" s="36" t="s">
        <v>11</v>
      </c>
      <c r="B10" s="37">
        <v>7</v>
      </c>
      <c r="C10" s="36" t="s">
        <v>103</v>
      </c>
      <c r="D10" s="36" t="s">
        <v>104</v>
      </c>
      <c r="E10" s="37"/>
      <c r="F10" s="36"/>
      <c r="G10" s="36"/>
    </row>
    <row r="11" spans="1:7" x14ac:dyDescent="0.3">
      <c r="A11" s="36" t="s">
        <v>11</v>
      </c>
      <c r="B11" s="37">
        <v>8</v>
      </c>
      <c r="C11" s="36" t="s">
        <v>105</v>
      </c>
      <c r="D11" s="36" t="s">
        <v>104</v>
      </c>
      <c r="E11" s="37"/>
      <c r="F11" s="36"/>
      <c r="G11" s="36"/>
    </row>
    <row r="12" spans="1:7" x14ac:dyDescent="0.3">
      <c r="A12" s="36" t="s">
        <v>11</v>
      </c>
      <c r="B12" s="37">
        <v>9</v>
      </c>
      <c r="C12" s="36" t="s">
        <v>106</v>
      </c>
      <c r="D12" s="36" t="s">
        <v>104</v>
      </c>
      <c r="E12" s="37"/>
      <c r="F12" s="36"/>
      <c r="G12" s="36"/>
    </row>
    <row r="13" spans="1:7" x14ac:dyDescent="0.3">
      <c r="A13" s="36" t="s">
        <v>11</v>
      </c>
      <c r="B13" s="37">
        <v>10</v>
      </c>
      <c r="C13" s="36" t="s">
        <v>107</v>
      </c>
      <c r="D13" s="36" t="s">
        <v>108</v>
      </c>
      <c r="E13" s="37"/>
      <c r="F13" s="36"/>
      <c r="G13" s="36" t="s">
        <v>109</v>
      </c>
    </row>
    <row r="14" spans="1:7" x14ac:dyDescent="0.3">
      <c r="A14" s="36" t="s">
        <v>11</v>
      </c>
      <c r="B14" s="37">
        <v>11</v>
      </c>
      <c r="C14" s="36" t="s">
        <v>110</v>
      </c>
      <c r="D14" s="36" t="s">
        <v>108</v>
      </c>
      <c r="E14" s="37"/>
      <c r="F14" s="36"/>
      <c r="G14" s="36" t="s">
        <v>111</v>
      </c>
    </row>
    <row r="15" spans="1:7" x14ac:dyDescent="0.3">
      <c r="A15" s="36" t="s">
        <v>11</v>
      </c>
      <c r="B15" s="37">
        <v>12</v>
      </c>
      <c r="C15" s="36" t="s">
        <v>112</v>
      </c>
      <c r="D15" s="36" t="s">
        <v>113</v>
      </c>
      <c r="E15" s="37"/>
      <c r="F15" s="36"/>
      <c r="G15" s="36"/>
    </row>
    <row r="16" spans="1:7" x14ac:dyDescent="0.3">
      <c r="A16" s="36" t="s">
        <v>13</v>
      </c>
      <c r="B16" s="37">
        <v>1</v>
      </c>
      <c r="C16" s="36" t="s">
        <v>77</v>
      </c>
      <c r="D16" s="36" t="s">
        <v>78</v>
      </c>
      <c r="E16" s="38" t="s">
        <v>38</v>
      </c>
      <c r="F16" s="36"/>
      <c r="G16" s="36"/>
    </row>
    <row r="17" spans="1:7" x14ac:dyDescent="0.3">
      <c r="A17" s="36" t="s">
        <v>13</v>
      </c>
      <c r="B17" s="37">
        <v>2</v>
      </c>
      <c r="C17" s="36" t="s">
        <v>121</v>
      </c>
      <c r="D17" s="36" t="s">
        <v>78</v>
      </c>
      <c r="E17" s="39" t="s">
        <v>41</v>
      </c>
      <c r="F17" s="36" t="s">
        <v>122</v>
      </c>
      <c r="G17" s="36" t="s">
        <v>123</v>
      </c>
    </row>
    <row r="18" spans="1:7" x14ac:dyDescent="0.3">
      <c r="A18" s="36" t="s">
        <v>13</v>
      </c>
      <c r="B18" s="37">
        <v>3</v>
      </c>
      <c r="C18" s="36" t="s">
        <v>124</v>
      </c>
      <c r="D18" s="36" t="s">
        <v>80</v>
      </c>
      <c r="E18" s="37"/>
      <c r="F18" s="36"/>
      <c r="G18" s="36" t="s">
        <v>125</v>
      </c>
    </row>
    <row r="19" spans="1:7" x14ac:dyDescent="0.3">
      <c r="A19" s="36" t="s">
        <v>13</v>
      </c>
      <c r="B19" s="37">
        <v>4</v>
      </c>
      <c r="C19" s="36" t="s">
        <v>126</v>
      </c>
      <c r="D19" s="36" t="s">
        <v>80</v>
      </c>
      <c r="E19" s="37"/>
      <c r="F19" s="36"/>
      <c r="G19" s="36" t="s">
        <v>127</v>
      </c>
    </row>
    <row r="20" spans="1:7" x14ac:dyDescent="0.3">
      <c r="A20" s="36" t="s">
        <v>13</v>
      </c>
      <c r="B20" s="37">
        <v>5</v>
      </c>
      <c r="C20" s="36" t="s">
        <v>128</v>
      </c>
      <c r="D20" s="36" t="s">
        <v>80</v>
      </c>
      <c r="E20" s="37"/>
      <c r="F20" s="36"/>
      <c r="G20" s="36"/>
    </row>
    <row r="21" spans="1:7" x14ac:dyDescent="0.3">
      <c r="A21" s="36" t="s">
        <v>13</v>
      </c>
      <c r="B21" s="37">
        <v>6</v>
      </c>
      <c r="C21" s="36" t="s">
        <v>129</v>
      </c>
      <c r="D21" s="36" t="s">
        <v>80</v>
      </c>
      <c r="E21" s="37"/>
      <c r="F21" s="36"/>
      <c r="G21" s="36" t="s">
        <v>130</v>
      </c>
    </row>
    <row r="22" spans="1:7" x14ac:dyDescent="0.3">
      <c r="A22" s="36" t="s">
        <v>13</v>
      </c>
      <c r="B22" s="37">
        <v>7</v>
      </c>
      <c r="C22" s="36" t="s">
        <v>131</v>
      </c>
      <c r="D22" s="36" t="s">
        <v>104</v>
      </c>
      <c r="E22" s="37"/>
      <c r="F22" s="36"/>
      <c r="G22" s="36" t="s">
        <v>132</v>
      </c>
    </row>
    <row r="23" spans="1:7" x14ac:dyDescent="0.3">
      <c r="A23" s="36" t="s">
        <v>13</v>
      </c>
      <c r="B23" s="37">
        <v>8</v>
      </c>
      <c r="C23" s="36" t="s">
        <v>133</v>
      </c>
      <c r="D23" s="36" t="s">
        <v>80</v>
      </c>
      <c r="E23" s="37"/>
      <c r="F23" s="36"/>
      <c r="G23" s="36" t="s">
        <v>134</v>
      </c>
    </row>
    <row r="24" spans="1:7" x14ac:dyDescent="0.3">
      <c r="A24" s="36" t="s">
        <v>13</v>
      </c>
      <c r="B24" s="37">
        <v>9</v>
      </c>
      <c r="C24" s="36" t="s">
        <v>135</v>
      </c>
      <c r="D24" s="36" t="s">
        <v>108</v>
      </c>
      <c r="E24" s="37"/>
      <c r="F24" s="36"/>
      <c r="G24" s="36" t="s">
        <v>136</v>
      </c>
    </row>
    <row r="25" spans="1:7" x14ac:dyDescent="0.3">
      <c r="A25" s="36" t="s">
        <v>13</v>
      </c>
      <c r="B25" s="37">
        <v>10</v>
      </c>
      <c r="C25" s="36" t="s">
        <v>137</v>
      </c>
      <c r="D25" s="36" t="s">
        <v>113</v>
      </c>
      <c r="E25" s="37"/>
      <c r="F25" s="36"/>
      <c r="G25" s="36"/>
    </row>
    <row r="26" spans="1:7" x14ac:dyDescent="0.3">
      <c r="A26" s="36" t="s">
        <v>13</v>
      </c>
      <c r="B26" s="37">
        <v>11</v>
      </c>
      <c r="C26" s="36" t="s">
        <v>138</v>
      </c>
      <c r="D26" s="36" t="s">
        <v>139</v>
      </c>
      <c r="E26" s="37"/>
      <c r="F26" s="36"/>
      <c r="G26" s="36"/>
    </row>
    <row r="27" spans="1:7" x14ac:dyDescent="0.3">
      <c r="A27" s="36" t="s">
        <v>15</v>
      </c>
      <c r="B27" s="37">
        <v>1</v>
      </c>
      <c r="C27" s="36" t="s">
        <v>77</v>
      </c>
      <c r="D27" s="36" t="s">
        <v>78</v>
      </c>
      <c r="E27" s="38" t="s">
        <v>38</v>
      </c>
      <c r="F27" s="36"/>
      <c r="G27" s="36"/>
    </row>
    <row r="28" spans="1:7" x14ac:dyDescent="0.3">
      <c r="A28" s="36" t="s">
        <v>15</v>
      </c>
      <c r="B28" s="37">
        <v>2</v>
      </c>
      <c r="C28" s="36" t="s">
        <v>121</v>
      </c>
      <c r="D28" s="36" t="s">
        <v>78</v>
      </c>
      <c r="E28" s="39" t="s">
        <v>41</v>
      </c>
      <c r="F28" s="36" t="s">
        <v>122</v>
      </c>
      <c r="G28" s="36" t="s">
        <v>142</v>
      </c>
    </row>
    <row r="29" spans="1:7" x14ac:dyDescent="0.3">
      <c r="A29" s="36" t="s">
        <v>15</v>
      </c>
      <c r="B29" s="37">
        <v>3</v>
      </c>
      <c r="C29" s="36" t="s">
        <v>128</v>
      </c>
      <c r="D29" s="36" t="s">
        <v>80</v>
      </c>
      <c r="E29" s="37"/>
      <c r="F29" s="36"/>
      <c r="G29" s="36" t="s">
        <v>143</v>
      </c>
    </row>
    <row r="30" spans="1:7" x14ac:dyDescent="0.3">
      <c r="A30" s="36" t="s">
        <v>15</v>
      </c>
      <c r="B30" s="37">
        <v>4</v>
      </c>
      <c r="C30" s="36" t="s">
        <v>144</v>
      </c>
      <c r="D30" s="36" t="s">
        <v>108</v>
      </c>
      <c r="E30" s="37"/>
      <c r="F30" s="36"/>
      <c r="G30" s="36" t="s">
        <v>145</v>
      </c>
    </row>
    <row r="31" spans="1:7" x14ac:dyDescent="0.3">
      <c r="A31" s="36" t="s">
        <v>15</v>
      </c>
      <c r="B31" s="37">
        <v>5</v>
      </c>
      <c r="C31" s="36" t="s">
        <v>146</v>
      </c>
      <c r="D31" s="36" t="s">
        <v>104</v>
      </c>
      <c r="E31" s="37"/>
      <c r="F31" s="36"/>
      <c r="G31" s="36"/>
    </row>
    <row r="32" spans="1:7" x14ac:dyDescent="0.3">
      <c r="A32" s="36" t="s">
        <v>15</v>
      </c>
      <c r="B32" s="37">
        <v>6</v>
      </c>
      <c r="C32" s="36" t="s">
        <v>147</v>
      </c>
      <c r="D32" s="36" t="s">
        <v>113</v>
      </c>
      <c r="E32" s="37"/>
      <c r="F32" s="36"/>
      <c r="G32" s="36"/>
    </row>
    <row r="33" spans="1:7" x14ac:dyDescent="0.3">
      <c r="A33" s="36" t="s">
        <v>17</v>
      </c>
      <c r="B33" s="37">
        <v>1</v>
      </c>
      <c r="C33" s="36" t="s">
        <v>77</v>
      </c>
      <c r="D33" s="36" t="s">
        <v>78</v>
      </c>
      <c r="E33" s="38" t="s">
        <v>38</v>
      </c>
      <c r="F33" s="36"/>
      <c r="G33" s="36"/>
    </row>
    <row r="34" spans="1:7" x14ac:dyDescent="0.3">
      <c r="A34" s="36" t="s">
        <v>17</v>
      </c>
      <c r="B34" s="37">
        <v>2</v>
      </c>
      <c r="C34" s="36" t="s">
        <v>150</v>
      </c>
      <c r="D34" s="36" t="s">
        <v>78</v>
      </c>
      <c r="E34" s="39" t="s">
        <v>41</v>
      </c>
      <c r="F34" s="36" t="s">
        <v>151</v>
      </c>
      <c r="G34" s="36" t="s">
        <v>152</v>
      </c>
    </row>
    <row r="35" spans="1:7" x14ac:dyDescent="0.3">
      <c r="A35" s="36" t="s">
        <v>17</v>
      </c>
      <c r="B35" s="37">
        <v>3</v>
      </c>
      <c r="C35" s="36" t="s">
        <v>153</v>
      </c>
      <c r="D35" s="36" t="s">
        <v>80</v>
      </c>
      <c r="E35" s="37"/>
      <c r="F35" s="36"/>
      <c r="G35" s="36" t="s">
        <v>154</v>
      </c>
    </row>
    <row r="36" spans="1:7" x14ac:dyDescent="0.3">
      <c r="A36" s="36" t="s">
        <v>17</v>
      </c>
      <c r="B36" s="37">
        <v>4</v>
      </c>
      <c r="C36" s="36" t="s">
        <v>155</v>
      </c>
      <c r="D36" s="36" t="s">
        <v>78</v>
      </c>
      <c r="E36" s="39" t="s">
        <v>41</v>
      </c>
      <c r="F36" s="36" t="s">
        <v>156</v>
      </c>
      <c r="G36" s="36" t="s">
        <v>31</v>
      </c>
    </row>
    <row r="37" spans="1:7" x14ac:dyDescent="0.3">
      <c r="A37" s="36" t="s">
        <v>17</v>
      </c>
      <c r="B37" s="37">
        <v>5</v>
      </c>
      <c r="C37" s="36" t="s">
        <v>157</v>
      </c>
      <c r="D37" s="36" t="s">
        <v>80</v>
      </c>
      <c r="E37" s="37"/>
      <c r="F37" s="36"/>
      <c r="G37" s="36"/>
    </row>
    <row r="38" spans="1:7" x14ac:dyDescent="0.3">
      <c r="A38" s="36" t="s">
        <v>17</v>
      </c>
      <c r="B38" s="37">
        <v>6</v>
      </c>
      <c r="C38" s="36" t="s">
        <v>158</v>
      </c>
      <c r="D38" s="36" t="s">
        <v>113</v>
      </c>
      <c r="E38" s="37"/>
      <c r="F38" s="36"/>
      <c r="G38" s="36"/>
    </row>
    <row r="39" spans="1:7" x14ac:dyDescent="0.3">
      <c r="A39" s="36" t="s">
        <v>17</v>
      </c>
      <c r="B39" s="37">
        <v>7</v>
      </c>
      <c r="C39" s="36" t="s">
        <v>159</v>
      </c>
      <c r="D39" s="36" t="s">
        <v>139</v>
      </c>
      <c r="E39" s="37"/>
      <c r="F39" s="36"/>
      <c r="G39" s="36"/>
    </row>
    <row r="40" spans="1:7" x14ac:dyDescent="0.3">
      <c r="A40" s="36" t="s">
        <v>17</v>
      </c>
      <c r="B40" s="37">
        <v>8</v>
      </c>
      <c r="C40" s="36" t="s">
        <v>160</v>
      </c>
      <c r="D40" s="36" t="s">
        <v>161</v>
      </c>
      <c r="E40" s="37"/>
      <c r="F40" s="36"/>
      <c r="G40" s="36"/>
    </row>
    <row r="41" spans="1:7" x14ac:dyDescent="0.3">
      <c r="A41" s="36" t="s">
        <v>17</v>
      </c>
      <c r="B41" s="37">
        <v>9</v>
      </c>
      <c r="C41" s="36" t="s">
        <v>162</v>
      </c>
      <c r="D41" s="36" t="s">
        <v>104</v>
      </c>
      <c r="E41" s="37"/>
      <c r="F41" s="36"/>
      <c r="G41" s="36"/>
    </row>
    <row r="42" spans="1:7" x14ac:dyDescent="0.3">
      <c r="A42" s="36" t="s">
        <v>17</v>
      </c>
      <c r="B42" s="37">
        <v>10</v>
      </c>
      <c r="C42" s="36" t="s">
        <v>163</v>
      </c>
      <c r="D42" s="36" t="s">
        <v>108</v>
      </c>
      <c r="E42" s="37"/>
      <c r="F42" s="36"/>
      <c r="G42" s="36" t="s">
        <v>164</v>
      </c>
    </row>
    <row r="43" spans="1:7" x14ac:dyDescent="0.3">
      <c r="A43" s="36" t="s">
        <v>19</v>
      </c>
      <c r="B43" s="37">
        <v>1</v>
      </c>
      <c r="C43" s="36" t="s">
        <v>77</v>
      </c>
      <c r="D43" s="36" t="s">
        <v>78</v>
      </c>
      <c r="E43" s="38" t="s">
        <v>38</v>
      </c>
      <c r="F43" s="36"/>
      <c r="G43" s="36"/>
    </row>
    <row r="44" spans="1:7" x14ac:dyDescent="0.3">
      <c r="A44" s="36" t="s">
        <v>19</v>
      </c>
      <c r="B44" s="37">
        <v>2</v>
      </c>
      <c r="C44" s="36" t="s">
        <v>121</v>
      </c>
      <c r="D44" s="36" t="s">
        <v>78</v>
      </c>
      <c r="E44" s="39" t="s">
        <v>41</v>
      </c>
      <c r="F44" s="36" t="s">
        <v>122</v>
      </c>
      <c r="G44" s="36" t="s">
        <v>170</v>
      </c>
    </row>
    <row r="45" spans="1:7" x14ac:dyDescent="0.3">
      <c r="A45" s="36" t="s">
        <v>19</v>
      </c>
      <c r="B45" s="37">
        <v>3</v>
      </c>
      <c r="C45" s="36" t="s">
        <v>171</v>
      </c>
      <c r="D45" s="36" t="s">
        <v>113</v>
      </c>
      <c r="E45" s="37"/>
      <c r="F45" s="36"/>
      <c r="G45" s="36" t="s">
        <v>170</v>
      </c>
    </row>
    <row r="46" spans="1:7" x14ac:dyDescent="0.3">
      <c r="A46" s="36" t="s">
        <v>19</v>
      </c>
      <c r="B46" s="37">
        <v>4</v>
      </c>
      <c r="C46" s="36" t="s">
        <v>172</v>
      </c>
      <c r="D46" s="36" t="s">
        <v>113</v>
      </c>
      <c r="E46" s="37"/>
      <c r="F46" s="36"/>
      <c r="G46" s="36" t="s">
        <v>170</v>
      </c>
    </row>
    <row r="47" spans="1:7" x14ac:dyDescent="0.3">
      <c r="A47" s="36" t="s">
        <v>19</v>
      </c>
      <c r="B47" s="37">
        <v>5</v>
      </c>
      <c r="C47" s="36" t="s">
        <v>173</v>
      </c>
      <c r="D47" s="36" t="s">
        <v>80</v>
      </c>
      <c r="E47" s="37"/>
      <c r="F47" s="36"/>
      <c r="G47" s="36" t="s">
        <v>174</v>
      </c>
    </row>
    <row r="48" spans="1:7" x14ac:dyDescent="0.3">
      <c r="A48" s="36" t="s">
        <v>19</v>
      </c>
      <c r="B48" s="37">
        <v>6</v>
      </c>
      <c r="C48" s="36" t="s">
        <v>129</v>
      </c>
      <c r="D48" s="36" t="s">
        <v>80</v>
      </c>
      <c r="E48" s="37"/>
      <c r="F48" s="36"/>
      <c r="G48" s="36" t="s">
        <v>175</v>
      </c>
    </row>
    <row r="49" spans="1:7" x14ac:dyDescent="0.3">
      <c r="A49" s="36" t="s">
        <v>19</v>
      </c>
      <c r="B49" s="37">
        <v>7</v>
      </c>
      <c r="C49" s="36" t="s">
        <v>176</v>
      </c>
      <c r="D49" s="36" t="s">
        <v>80</v>
      </c>
      <c r="E49" s="37"/>
      <c r="F49" s="36"/>
      <c r="G49" s="36"/>
    </row>
    <row r="50" spans="1:7" x14ac:dyDescent="0.3">
      <c r="A50" s="36" t="s">
        <v>19</v>
      </c>
      <c r="B50" s="37">
        <v>8</v>
      </c>
      <c r="C50" s="36" t="s">
        <v>177</v>
      </c>
      <c r="D50" s="36" t="s">
        <v>78</v>
      </c>
      <c r="E50" s="37"/>
      <c r="F50" s="36"/>
      <c r="G50" s="36"/>
    </row>
    <row r="51" spans="1:7" x14ac:dyDescent="0.3">
      <c r="A51" s="36" t="s">
        <v>19</v>
      </c>
      <c r="B51" s="37">
        <v>9</v>
      </c>
      <c r="C51" s="36" t="s">
        <v>178</v>
      </c>
      <c r="D51" s="36" t="s">
        <v>78</v>
      </c>
      <c r="E51" s="37"/>
      <c r="F51" s="36"/>
      <c r="G51" s="36"/>
    </row>
    <row r="52" spans="1:7" x14ac:dyDescent="0.3">
      <c r="A52" s="36" t="s">
        <v>19</v>
      </c>
      <c r="B52" s="37">
        <v>10</v>
      </c>
      <c r="C52" s="36" t="s">
        <v>179</v>
      </c>
      <c r="D52" s="36" t="s">
        <v>78</v>
      </c>
      <c r="E52" s="37"/>
      <c r="F52" s="36"/>
      <c r="G52" s="36"/>
    </row>
    <row r="53" spans="1:7" x14ac:dyDescent="0.3">
      <c r="A53" s="36" t="s">
        <v>19</v>
      </c>
      <c r="B53" s="37">
        <v>11</v>
      </c>
      <c r="C53" s="36" t="s">
        <v>180</v>
      </c>
      <c r="D53" s="36" t="s">
        <v>108</v>
      </c>
      <c r="E53" s="37"/>
      <c r="F53" s="36"/>
      <c r="G53" s="36" t="s">
        <v>181</v>
      </c>
    </row>
    <row r="54" spans="1:7" x14ac:dyDescent="0.3">
      <c r="A54" s="36" t="s">
        <v>19</v>
      </c>
      <c r="B54" s="37">
        <v>12</v>
      </c>
      <c r="C54" s="36" t="s">
        <v>182</v>
      </c>
      <c r="D54" s="36" t="s">
        <v>80</v>
      </c>
      <c r="E54" s="37"/>
      <c r="F54" s="36"/>
      <c r="G54" s="36"/>
    </row>
    <row r="55" spans="1:7" x14ac:dyDescent="0.3">
      <c r="A55" s="36" t="s">
        <v>19</v>
      </c>
      <c r="B55" s="37">
        <v>13</v>
      </c>
      <c r="C55" s="36" t="s">
        <v>183</v>
      </c>
      <c r="D55" s="36" t="s">
        <v>113</v>
      </c>
      <c r="E55" s="37"/>
      <c r="F55" s="36"/>
      <c r="G55" s="36"/>
    </row>
    <row r="56" spans="1:7" x14ac:dyDescent="0.3">
      <c r="A56" s="36" t="s">
        <v>21</v>
      </c>
      <c r="B56" s="37">
        <v>1</v>
      </c>
      <c r="C56" s="36" t="s">
        <v>77</v>
      </c>
      <c r="D56" s="36" t="s">
        <v>78</v>
      </c>
      <c r="E56" s="38" t="s">
        <v>38</v>
      </c>
      <c r="F56" s="36"/>
      <c r="G56" s="36"/>
    </row>
    <row r="57" spans="1:7" x14ac:dyDescent="0.3">
      <c r="A57" s="36" t="s">
        <v>21</v>
      </c>
      <c r="B57" s="37">
        <v>2</v>
      </c>
      <c r="C57" s="36" t="s">
        <v>186</v>
      </c>
      <c r="D57" s="36" t="s">
        <v>78</v>
      </c>
      <c r="E57" s="39" t="s">
        <v>41</v>
      </c>
      <c r="F57" s="36" t="s">
        <v>187</v>
      </c>
      <c r="G57" s="36" t="s">
        <v>188</v>
      </c>
    </row>
    <row r="58" spans="1:7" x14ac:dyDescent="0.3">
      <c r="A58" s="36" t="s">
        <v>21</v>
      </c>
      <c r="B58" s="37">
        <v>3</v>
      </c>
      <c r="C58" s="36" t="s">
        <v>189</v>
      </c>
      <c r="D58" s="36" t="s">
        <v>80</v>
      </c>
      <c r="E58" s="37"/>
      <c r="F58" s="36"/>
      <c r="G58" s="36" t="s">
        <v>190</v>
      </c>
    </row>
    <row r="59" spans="1:7" x14ac:dyDescent="0.3">
      <c r="A59" s="36" t="s">
        <v>21</v>
      </c>
      <c r="B59" s="37">
        <v>4</v>
      </c>
      <c r="C59" s="36" t="s">
        <v>191</v>
      </c>
      <c r="D59" s="36" t="s">
        <v>80</v>
      </c>
      <c r="E59" s="37"/>
      <c r="F59" s="36"/>
      <c r="G59" s="36" t="s">
        <v>192</v>
      </c>
    </row>
    <row r="60" spans="1:7" x14ac:dyDescent="0.3">
      <c r="A60" s="36" t="s">
        <v>21</v>
      </c>
      <c r="B60" s="37">
        <v>5</v>
      </c>
      <c r="C60" s="36" t="s">
        <v>193</v>
      </c>
      <c r="D60" s="36" t="s">
        <v>78</v>
      </c>
      <c r="E60" s="37"/>
      <c r="F60" s="36"/>
      <c r="G60" s="36" t="s">
        <v>194</v>
      </c>
    </row>
    <row r="61" spans="1:7" x14ac:dyDescent="0.3">
      <c r="A61" s="36" t="s">
        <v>21</v>
      </c>
      <c r="B61" s="37">
        <v>6</v>
      </c>
      <c r="C61" s="36" t="s">
        <v>195</v>
      </c>
      <c r="D61" s="36" t="s">
        <v>78</v>
      </c>
      <c r="E61" s="39" t="s">
        <v>41</v>
      </c>
      <c r="F61" s="36" t="s">
        <v>196</v>
      </c>
      <c r="G61" s="36" t="s">
        <v>197</v>
      </c>
    </row>
    <row r="62" spans="1:7" x14ac:dyDescent="0.3">
      <c r="A62" s="36" t="s">
        <v>21</v>
      </c>
      <c r="B62" s="37">
        <v>7</v>
      </c>
      <c r="C62" s="36" t="s">
        <v>198</v>
      </c>
      <c r="D62" s="36" t="s">
        <v>139</v>
      </c>
      <c r="E62" s="37"/>
      <c r="F62" s="36"/>
      <c r="G62" s="36"/>
    </row>
    <row r="63" spans="1:7" x14ac:dyDescent="0.3">
      <c r="A63" s="36" t="s">
        <v>21</v>
      </c>
      <c r="B63" s="37">
        <v>8</v>
      </c>
      <c r="C63" s="36" t="s">
        <v>199</v>
      </c>
      <c r="D63" s="36" t="s">
        <v>139</v>
      </c>
      <c r="E63" s="37"/>
      <c r="F63" s="36"/>
      <c r="G63" s="36"/>
    </row>
    <row r="64" spans="1:7" x14ac:dyDescent="0.3">
      <c r="A64" s="36" t="s">
        <v>21</v>
      </c>
      <c r="B64" s="37">
        <v>9</v>
      </c>
      <c r="C64" s="36" t="s">
        <v>200</v>
      </c>
      <c r="D64" s="36" t="s">
        <v>113</v>
      </c>
      <c r="E64" s="37"/>
      <c r="F64" s="36"/>
      <c r="G64" s="36"/>
    </row>
    <row r="65" spans="1:7" x14ac:dyDescent="0.3">
      <c r="A65" s="36" t="s">
        <v>21</v>
      </c>
      <c r="B65" s="37">
        <v>10</v>
      </c>
      <c r="C65" s="36" t="s">
        <v>201</v>
      </c>
      <c r="D65" s="36" t="s">
        <v>80</v>
      </c>
      <c r="E65" s="37"/>
      <c r="F65" s="36"/>
      <c r="G65" s="36" t="s">
        <v>202</v>
      </c>
    </row>
    <row r="66" spans="1:7" x14ac:dyDescent="0.3">
      <c r="A66" s="36" t="s">
        <v>21</v>
      </c>
      <c r="B66" s="37">
        <v>11</v>
      </c>
      <c r="C66" s="36" t="s">
        <v>203</v>
      </c>
      <c r="D66" s="36" t="s">
        <v>113</v>
      </c>
      <c r="E66" s="37"/>
      <c r="F66" s="36"/>
      <c r="G66" s="36"/>
    </row>
    <row r="67" spans="1:7" x14ac:dyDescent="0.3">
      <c r="A67" s="36" t="s">
        <v>21</v>
      </c>
      <c r="B67" s="37">
        <v>12</v>
      </c>
      <c r="C67" s="36" t="s">
        <v>204</v>
      </c>
      <c r="D67" s="36" t="s">
        <v>113</v>
      </c>
      <c r="E67" s="37"/>
      <c r="F67" s="36"/>
      <c r="G67" s="36"/>
    </row>
    <row r="68" spans="1:7" x14ac:dyDescent="0.3">
      <c r="A68" s="36" t="s">
        <v>21</v>
      </c>
      <c r="B68" s="37">
        <v>13</v>
      </c>
      <c r="C68" s="36" t="s">
        <v>205</v>
      </c>
      <c r="D68" s="36" t="s">
        <v>108</v>
      </c>
      <c r="E68" s="37"/>
      <c r="F68" s="36"/>
      <c r="G68" s="36" t="s">
        <v>206</v>
      </c>
    </row>
    <row r="69" spans="1:7" x14ac:dyDescent="0.3">
      <c r="A69" s="36" t="s">
        <v>21</v>
      </c>
      <c r="B69" s="37">
        <v>14</v>
      </c>
      <c r="C69" s="36" t="s">
        <v>207</v>
      </c>
      <c r="D69" s="36" t="s">
        <v>139</v>
      </c>
      <c r="E69" s="37"/>
      <c r="F69" s="36"/>
      <c r="G69" s="36"/>
    </row>
    <row r="70" spans="1:7" x14ac:dyDescent="0.3">
      <c r="A70" s="36" t="s">
        <v>21</v>
      </c>
      <c r="B70" s="37">
        <v>15</v>
      </c>
      <c r="C70" s="36" t="s">
        <v>208</v>
      </c>
      <c r="D70" s="36" t="s">
        <v>113</v>
      </c>
      <c r="E70" s="37"/>
      <c r="F70" s="36"/>
      <c r="G70" s="36"/>
    </row>
    <row r="71" spans="1:7" x14ac:dyDescent="0.3">
      <c r="A71" s="36" t="s">
        <v>21</v>
      </c>
      <c r="B71" s="37">
        <v>16</v>
      </c>
      <c r="C71" s="36" t="s">
        <v>209</v>
      </c>
      <c r="D71" s="36" t="s">
        <v>78</v>
      </c>
      <c r="E71" s="37"/>
      <c r="F71" s="36"/>
      <c r="G71" s="36"/>
    </row>
    <row r="72" spans="1:7" x14ac:dyDescent="0.3">
      <c r="A72" s="36" t="s">
        <v>21</v>
      </c>
      <c r="B72" s="37">
        <v>17</v>
      </c>
      <c r="C72" s="36" t="s">
        <v>210</v>
      </c>
      <c r="D72" s="36" t="s">
        <v>78</v>
      </c>
      <c r="E72" s="37"/>
      <c r="F72" s="36"/>
      <c r="G72" s="36" t="s">
        <v>211</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USER</vt:lpstr>
      <vt:lpstr>SPACE</vt:lpstr>
      <vt:lpstr>CONNECTION</vt:lpstr>
      <vt:lpstr>PERSON</vt:lpstr>
      <vt:lpstr>MESSAGE</vt:lpstr>
      <vt:lpstr>BRIEF</vt:lpstr>
      <vt:lpstr>BRIEF_ITEM</vt:lpstr>
      <vt:lpstr>Relationships</vt:lpstr>
      <vt:lpstr>All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Revaant Daga</cp:lastModifiedBy>
  <cp:revision>0</cp:revision>
  <dcterms:created xsi:type="dcterms:W3CDTF">2026-09-08T04:03:33Z</dcterms:created>
  <dcterms:modified xsi:type="dcterms:W3CDTF">2026-09-08T04:12:50Z</dcterms:modified>
  <dc:language>en-US</dc:language>
</cp:coreProperties>
</file>